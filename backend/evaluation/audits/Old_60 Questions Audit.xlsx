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cuments\Msc Dissertation\MSc-Kraken-RAG-Submission\backend\evaluation\audits\"/>
    </mc:Choice>
  </mc:AlternateContent>
  <xr:revisionPtr revIDLastSave="0" documentId="13_ncr:1_{0134230C-BC7D-4039-9CCF-F1D88CCC4F28}" xr6:coauthVersionLast="47" xr6:coauthVersionMax="47" xr10:uidLastSave="{00000000-0000-0000-0000-000000000000}"/>
  <bookViews>
    <workbookView xWindow="2660" yWindow="2660" windowWidth="34310" windowHeight="17650" xr2:uid="{00000000-000D-0000-FFFF-FFFF00000000}"/>
  </bookViews>
  <sheets>
    <sheet name="Comparison" sheetId="1" r:id="rId1"/>
    <sheet name="Export Notes" sheetId="2" r:id="rId2"/>
  </sheets>
  <calcPr calcId="191029"/>
</workbook>
</file>

<file path=xl/calcChain.xml><?xml version="1.0" encoding="utf-8"?>
<calcChain xmlns="http://schemas.openxmlformats.org/spreadsheetml/2006/main">
  <c r="J38" i="1" l="1"/>
  <c r="J7" i="1"/>
  <c r="J3" i="1"/>
  <c r="J5" i="1"/>
  <c r="J6" i="1"/>
  <c r="J8" i="1"/>
  <c r="J9" i="1"/>
  <c r="J10" i="1"/>
  <c r="J11" i="1"/>
  <c r="J12" i="1"/>
  <c r="J13" i="1"/>
  <c r="J14" i="1"/>
  <c r="J15" i="1"/>
  <c r="J16" i="1"/>
  <c r="J17" i="1"/>
  <c r="J18" i="1"/>
  <c r="J19" i="1"/>
  <c r="J21" i="1"/>
  <c r="J22" i="1"/>
  <c r="J23" i="1"/>
  <c r="J25" i="1"/>
  <c r="J26" i="1"/>
  <c r="J27" i="1"/>
  <c r="J28" i="1"/>
  <c r="J29" i="1"/>
  <c r="J30" i="1"/>
  <c r="J31" i="1"/>
  <c r="J32" i="1"/>
  <c r="J33" i="1"/>
  <c r="J34" i="1"/>
  <c r="J35" i="1"/>
  <c r="J36" i="1"/>
  <c r="J37" i="1"/>
  <c r="J39" i="1"/>
  <c r="J40" i="1"/>
  <c r="J41" i="1"/>
  <c r="J42" i="1"/>
  <c r="J43" i="1"/>
  <c r="J44" i="1"/>
  <c r="J45" i="1"/>
  <c r="J46" i="1"/>
  <c r="J47" i="1"/>
  <c r="J48" i="1"/>
  <c r="J49" i="1"/>
  <c r="J50" i="1"/>
  <c r="J51" i="1"/>
  <c r="J52" i="1"/>
  <c r="J53" i="1"/>
  <c r="J54" i="1"/>
  <c r="J55" i="1"/>
  <c r="J56" i="1"/>
  <c r="J57" i="1"/>
  <c r="J58" i="1"/>
  <c r="J59" i="1"/>
  <c r="J60" i="1"/>
  <c r="J61" i="1"/>
  <c r="J2" i="1"/>
</calcChain>
</file>

<file path=xl/sharedStrings.xml><?xml version="1.0" encoding="utf-8"?>
<sst xmlns="http://schemas.openxmlformats.org/spreadsheetml/2006/main" count="382" uniqueCount="245">
  <si>
    <t>Question</t>
  </si>
  <si>
    <t>Structure aware answer</t>
  </si>
  <si>
    <t>Fixed Size Answer</t>
  </si>
  <si>
    <t>Structure Aware Score</t>
  </si>
  <si>
    <t>Fixed Size Score</t>
  </si>
  <si>
    <t>Which is better</t>
  </si>
  <si>
    <t>Notes</t>
  </si>
  <si>
    <t>Verdict</t>
  </si>
  <si>
    <t>What conflict risks are described when execution services involve group companies or trading venues?</t>
  </si>
  <si>
    <t>The conflict risks described when execution services involve group companies or trading venues include:
1. **Counterparty Interests**: There is a potential conflict of interest because the interests of the company (PESL) and its affiliates may diverge from those of the clients. PESL and its affiliates are the exclusive counterparties for all trades and option transactions, which may create situations where their interests do not align with those of the clients [C2].
2. **Routing Client Orders**: PESL routes client orders to its group affiliate, PGSL, which operates the trading platform. This creates a conflict that is mitigated by maintaining independent governance and separate management structures, along with robust information barriers to prevent inappropriate data sharing [C1].
3. **Group Shareholder Conflicts**: There may be conflicts arising from shareholders of PESL and PGSL having interests in group affiliates or service providers, potentially influencing decisions in favor of group interests over client interests. This requires disclosure and assessment under a conflict disclosure process [C4].
4. **Resource Allocation Conflicts**: Competing demands for shared internal resources (like technology and staff) between PESL and its internal teams can lead to conflicts that may impact performance. This is managed through clear contracts and service level agreements [C4].
5. **Overlapping Management Functions**: Shared directors or executives between PESL and its affiliates may lead to bias or misaligned priorities. This risk is mitigated by maintaining separate management teams and enforcing strong information barriers [C4].
6. **Information Sharing Risks**: There is a risk of inappropriate sharing or misuse of confidential information between group entities, which could disadvantage one entity and lead to regulatory exposure. This is managed through strict information barriers and access controls [C4].
These measures are in place to ensure that client interests are protected despite the inherent conflicts that may arise from the relationships between the entities involved.</t>
  </si>
  <si>
    <t>The conflict risks described when execution services involve group companies or trading venues include:
1. **Intra-group Conflicts**: A conflict arises when PESL routes client orders to PGSL, its group affiliate that operates the trading platform. This situation can create a conflict of interest as the two entities may have competing loyalties or interests, potentially compromising fair treatment of clients [C3].
2. **Shared Infrastructure and Dual Roles**: Conflicts may arise from shared infrastructure or dual roles across PESL, PGSL, or affiliates, leading to information asymmetries or competing loyalties. This can compromise independent decision-making or create a perception of unfair advantage for certain clients [C2].
3. **Client Competition**: Conflicts may occur when clients compete for execution in the same crypto-asset, raising concerns about fair treatment and prioritization, especially if preferential terms are perceived due to client size, trading volume, or commercial relationships [C2].
4. **Staff Incentives**: Conflicts may arise where staff incentives are linked to client trading activity or where personal trading and external interests create competing obligations, potentially leading to biased decisions or compromising service fairness [C2].
To manage these risks, PESL and PGSL operate with independent governance and separate management structures, supported by robust information barriers [C3].</t>
  </si>
  <si>
    <t>If staff are worried that a larger client could appear to receive preferential execution or terms, which conflict issue is relevant?</t>
  </si>
  <si>
    <t>The relevant conflict issue is the "Client Order Prioritisation Conflict." This conflict may arise when multiple clients place orders for the same crypto-asset, particularly in illiquid markets, leading to a risk of unfair prioritisation. This situation can result in better pricing or execution for some clients, which may impact trust and fairness among clients. PESL applies an Order Execution Policy to ensure that all orders are treated consistently, using objective criteria and monitored through compliance and post-trade reviews to mitigate this risk [C1].</t>
  </si>
  <si>
    <t>The relevant conflict issue is the "Client Order Prioritisation Conflict." This conflict arises when multiple clients place orders for the same crypto-asset, especially in illiquid markets, creating a risk of unfair prioritisation. This situation may result in better pricing or execution for some clients, impacting trust and fairness [C2].</t>
  </si>
  <si>
    <t>What conflict can arise from group shareholders or management influencing strategic decision-making?</t>
  </si>
  <si>
    <t>A potential conflict can arise when linked parties to PGSL/PESL shareholders hold interests in group affiliates or service providers. This situation may influence decisions in favor of group interests over client interests. Such relationships must be disclosed and assessed under the PGSL/PESL conflict disclosure process, with governance structures, independent oversight, and formal reviews in place to ensure client interests are protected [C1].</t>
  </si>
  <si>
    <t>A potential conflict can arise between PESL and group entities when linked parties to PGSL/PESL shareholders hold interests in group affiliates or service providers. This situation may influence decisions in favor of group interests over client interests, leading to divided loyalties and compromising independent decision-making. Such relationships must be disclosed and assessed under the PGSL/PESL conflict disclosure process, with governance structures, independent oversight, and formal reviews in place to ensure client interests are protected [C1].</t>
  </si>
  <si>
    <t>How does Kraken say conflicts of interest are managed or controlled?</t>
  </si>
  <si>
    <t>Kraken states that it takes reasonable steps to ensure that clients are treated fairly in circumstances where it or its affiliates have a material interest or conflict of interest. Additionally, Kraken may decline to act in such circumstances at its discretion. The company has implemented internal controls to identify, prevent, manage, and, where appropriate, disclose conflicts of interest. They are committed to effectively and fairly managing identified conflicts to prevent them from constituting or giving rise to a material risk of damage to clients' interests [C1][C2].</t>
  </si>
  <si>
    <t>Kraken states that it takes reasonable steps to ensure that clients are treated fairly in circumstances where it or its affiliates have a material interest or conflict of interest. Additionally, Kraken may decline to act in such circumstances if it deems necessary. The company has implemented internal controls to identify, prevent, manage, and disclose conflicts of interest effectively and fairly, aiming to prevent these conflicts from causing material risk to clients' interests [C1][C2][C4].</t>
  </si>
  <si>
    <t>When does the conflicts disclosure say conflicts may need to be disclosed to clients?</t>
  </si>
  <si>
    <t>Conflicts may need to be disclosed to clients in certain situations where it is not possible to fully eliminate a conflict of interest. In such instances, PESL and PGSL will provide clear and timely disclosure to affected clients, outlining the nature of the conflict [C2].</t>
  </si>
  <si>
    <t>Conflicts may need to be disclosed to clients in certain situations where it is not possible to fully eliminate a conflict of interest. In such instances, PESL and PGSL will provide clear and timely disclosure to affected clients, outlining the nature of the conflict. Clients will be notified in a clear, specific, and timely manner through updates to the disclosure, and they will have access to this disclosure via the website and applications. Additionally, clients will be given sufficient information to make an informed decision about proceeding with the service [C5].</t>
  </si>
  <si>
    <t>Which crypto-asset transfer services does Kraken describe in the transfer services disclosure?</t>
  </si>
  <si>
    <t>Kraken describes the following crypto-asset transfer services in the transfer services disclosure:
1. **Kraken Pay**: Instant, off-chain transfers between Kraken clients.
2. **Crypto Deposits**: Sending crypto-assets from external wallets to your Kraken account.
3. **Crypto Withdrawals**: Transferring crypto-assets from your Kraken account to external wallets [C2].</t>
  </si>
  <si>
    <t>Kraken describes the following crypto-asset transfer services in the transfer services disclosure:
1. **Kraken Pay**: Instant, off-chain transfers between Kraken clients.
2. **Crypto Deposits**: Sending crypto-assets from external wallets to your Kraken account.
3. **Crypto Withdrawals**: Transferring crypto-assets from your Kraken account to external wallets [C1].</t>
  </si>
  <si>
    <t>How should staff explain the high-level process for initiating a deposit, withdrawal, or Kraken Pay transfer?</t>
  </si>
  <si>
    <t>To initiate a deposit, withdrawal, or Kraken Pay transfer, staff should explain the following high-level process:
1. **Deposits**: Clients must log in to their Kraken account and follow the instructions to generate a deposit address and send crypto from external wallets [C1].
2. **Withdrawals**: Clients should log in to their Kraken account and set up withdrawal addresses, following the guidance provided for confirming transactions [C1].
3. **Kraken Pay Transfers**: To initiate a transfer of Digital Assets or Fiat Currency through the Kraken Pay Service, clients (the "Sender") must:
   - Log in to their Kraken account.
   - Provide instructions by designating the type and amount of Digital Asset or Fiat Currency they wish to transfer and the intended recipient (the "Kraken Pay Instructions").
   - Submit the Kraken Pay Instructions and confirm the transaction, which authorizes Kraken to transfer the designated assets to the selected recipient [C4][C5].
In all cases, clients should ensure they have sufficient balance and verify all transaction details before submission, as transfers may not be reversible once processed [C5].</t>
  </si>
  <si>
    <t>To initiate a deposit, withdrawal, or Kraken Pay transfer, staff should explain the following high-level process:
1. **Log In**: Clients must log in to their Kraken account.
2. **Select the Appropriate Service**:
   - For **Deposits**: Clients need to generate a deposit address and follow the instructions to send crypto from external wallets to their Kraken account.
   - For **Withdrawals**: Clients should set up withdrawal addresses and follow the guidance provided to confirm transactions.
   - For **Kraken Pay Transfers**: Clients must provide instructions by designating the type and amount of Digital Asset or Fiat Currency they wish to transfer, along with the intended recipient.
3. **Submit Instructions**: After confirming the transaction, clients submit their Kraken Pay Instructions. This action authorizes Kraken to process the transfer.
4. **Processing**: Once the instructions are submitted, Kraken will begin processing the transfer immediately, and the designated assets may leave the client's account as soon as the transaction is confirmed.
5. **Finality**: It is important to note that transfers are final, non-refundable, and non-reversible once processed. Clients should verify all transaction information before submission to avoid irreversible loss of assets [C1][C4][C5].</t>
  </si>
  <si>
    <t>Under what conditions may Kraken reject or fail to process a crypto-asset transfer instruction?</t>
  </si>
  <si>
    <t>Kraken may reject or fail to process a crypto-asset transfer instruction under the following conditions:
1. You have reached your transfer or conversion limit.
2. There is insufficient balance in your account.
3. The amount you are trying to transfer is too small or too large.
4. There are certain restrictions on the specific asset you are looking to transfer.
5. There may be geographic restrictions on the transfer.
6. Transfers are missing relevant information.
7. Transfers from non-custodial wallets where ownership has not been verified will be suspended until verification is complete.
8. Certain cryptocurrency transfers may be deemed as potentially posing significant financial crime risk [C1].</t>
  </si>
  <si>
    <t>Kraken may reject or fail to process a crypto-asset transfer instruction under the following conditions:
1. You have reached your transfer or conversion limit.
2. There is insufficient balance in your account.
3. The amount you are trying to transfer is too small or too large.
4. There are certain restrictions on the specific asset you are looking to transfer.
5. There may be geographic restrictions on the transfer you are trying to make.
6. Transfers are missing relevant information.
7. Transfers from non-custodial wallets where ownership has not been verified will be suspended until verification is complete.
8. Certain cryptocurrency transfers may be deemed as potentially posing significant financial crime risk [C1].</t>
  </si>
  <si>
    <t>What should support tell a client who sent crypto to the wrong address or wrong network?</t>
  </si>
  <si>
    <t>Support should inform the client that once a crypto-asset transfer is initiated on a public blockchain, it is typically irreversible, and Kraken cannot cancel, recall, or reverse the transaction. They should advise the client to notify Kraken Support immediately and provide detailed information about the transfer, including their account email or ID, transaction ID (TXID), the crypto-asset involved, the wallet address used, the approximate time and date of the transfer, and a description of the issue (e.g., wrong network, wrong address) [C1].
Support should also clarify that Kraken cannot guarantee the recovery of funds in such cases, and that transfers sent to unsupported networks or incorrect addresses may result in the permanent loss of the crypto-assets. In rare circumstances, recovery might be possible if the funds were mistakenly sent to an internal Kraken address, but this is at Kraken’s discretion and may involve delays and recovery fees [C1].</t>
  </si>
  <si>
    <t>Support should inform the client to notify Kraken Support immediately via the Support Center and provide detailed information including their Kraken account email or ID, transaction ID (TXID), the crypto-asset involved, the wallet address used, the approximate time and date of the transfer, and a description of the issue (e.g., wrong network, wrong address, etc.) [C2]. However, it is important to note that Kraken cannot guarantee recovery of funds in such cases, and transfers sent to unsupported networks or incorrect addresses may result in the permanent loss of the crypto-assets [C1]. In rare circumstances, recovery might be possible only if the funds are mistakenly sent to an internal Kraken address, and only at Kraken’s discretion, which may involve delays and recovery fees [C1].</t>
  </si>
  <si>
    <t>What network and technical considerations should staff check before a crypto-asset transfer?</t>
  </si>
  <si>
    <t>Staff should check the following network and technical considerations before a crypto-asset transfer:
1. **Supported Distributed Ledger Technology (DLT) Network**: Ensure that the DLT network for the specific crypto-asset being transferred is supported. The details of supported networks can be found in the relevant documentation [C1].
2. **Compliance with Applicable Law**: Verify that the transfer complies with applicable laws. This includes understanding the nature and arrangements of the transfer services, as well as the security systems in place [C2].
3. **Receiving Crypto-assets**: Confirm that the recipient's public crypto wallet address is correctly shared and that the source of any transferred crypto-assets can be verified. Be aware that actions may be taken if there is suspicion of a violation of agreements or laws [C3].
4. **Sending Crypto-assets**: Ensure that the transfer instructions include the correct type and amount of crypto-assets, the intended recipient's details, and that the sender has sufficient assets in their account to cover the transfer [C4].
5. **Technical Risks**: Be aware of potential risks associated with the crypto-assets, such as blockchain and consensus risks, which may affect usability, value, or availability [C5].
By checking these considerations, staff can help ensure a smooth and compliant crypto-asset transfer process.</t>
  </si>
  <si>
    <t>Staff should check the following network and technical considerations before a crypto-asset transfer:
1. **Supported Networks**: Ensure that the distributed ledger technology (DLT) network for the crypto-asset being transferred is supported. A list of supported networks can be found in the relevant documentation [C3].
2. **Technical Requirements**: Verify that the technical requirements for using the Kraken app (whether on Android or iOS) or a web browser are met. This includes checking for any troubleshooting steps specific to the browser being used [C2].
3. **Transfer Instructions**: Confirm that all transfer instructions are complete and accurate, as transfers missing relevant information may be rejected [C3].
4. **Balance and Limits**: Ensure that there is sufficient balance in the account and that the transfer amount does not exceed any set limits [C3].
5. **Geographic Restrictions**: Be aware of any geographic restrictions that may apply to the transfer of certain crypto-assets [C3].
6. **Verification of Non-Custodial Wallets**: If transferring from a non-custodial wallet, ensure that ownership has been verified, as transfers may be suspended until verification is complete [C3].
By checking these considerations, staff can help mitigate the risk of errors and ensure a smoother transfer process.</t>
  </si>
  <si>
    <t>Can Kraken reverse or cancel a transfer after a client has submitted the instruction?</t>
  </si>
  <si>
    <t>Once a transfer instruction has been submitted and confirmed, Kraken generally cannot reverse or cancel the transfer. The transfer may not be canceled or reversed unless Kraken decides at its sole discretion that the transaction should be canceled or reversed and has the technical capability to effect such a cancellation or reversal [C3].</t>
  </si>
  <si>
    <t>Once a client has submitted instructions for a transfer using the Transfer Services, the instruction cannot be withdrawn or amended, and the transfer is final, non-refundable, and non-reversible once made [C1]. In some circumstances, a client may have the opportunity to request cancellation or reversal of a transfer, but Kraken may refuse any request at its sole discretion [C1]. Therefore, while there may be limited circumstances under which a cancellation could be considered, it is not guaranteed.</t>
  </si>
  <si>
    <t>What client asset safeguarding principles does the Custody Statement say PESL adopts?</t>
  </si>
  <si>
    <t>The Custody Statement outlines the following client asset safeguarding principles adopted by PESL:
1. **Segregation**: Client assets are held separate from the firm’s own assets, with accounting segregation maintained.
2. **Designation and Registration**: Client assets are clearly identified in internal records and those of relevant third parties.
3. **Reconciliation**: PESL keeps accurate records to provide an accurate account of client assets and conducts regular reconciliations.
4. **Calculation**: PESL ensures that the balance of client assets matches the aggregate balance held on-chain.
5. **Client Disclosure and Client Consent**: PESL provides information to clients about how and where their assets are held and the associated risks.
6. **Risk Management**: PESL has robust procedures, systems, and controls to identify risks [C1].</t>
  </si>
  <si>
    <t>The Custody Statement outlines the following client asset safeguarding principles adopted by PESL:
1. **Segregation**: Client assets are held separate from the firm’s own assets, with accounting segregation maintained.
2. **Designation and Registration**: Client assets are clearly identified in internal records and those of relevant third parties.
3. **Reconciliation**: PESL keeps accurate records to provide an accurate account of client assets and conducts regular reconciliations with actual balances.
4. **Calculation**: Regular checks ensure that the internal records match the aggregate balance of client assets held on-chain.
5. **Client Disclosure and Client Consent**: PESL informs clients about how and where their assets are held and the associated risks.
6. **Risk Management**: Robust procedures and controls are in place to identify and mitigate risks related to client assets.
7. **Examination / Assurance**: An external auditor is engaged annually to report on the safeguarding framework's compliance with regulatory requirements and expectations [C1].</t>
  </si>
  <si>
    <t>What does the Custody Statement say about how client crypto-assets are held and segregated?</t>
  </si>
  <si>
    <t>The Custody Statement indicates that client crypto-assets are held securely by PESL through both cold wallet and hot wallet storage solutions. Cold wallets are offline vaults designed for maximum security, while hot wallets are on-chain wallets that allow for frequent access to maintain liquidity for client withdrawals and trading activities. PESL exercises control over the cryptographic keys associated with these wallets using a quorum-based approval mechanism, ensuring that all key material is safeguarded within secure systems. 
Importantly, client crypto-assets are clearly identified and segregated from PESL’s own assets. Wallets holding client crypto-assets are labeled as such and are completely separate from PESL’s own wallets, ensuring that client assets are not co-mingled with PESL’s assets or used for any other purpose. This segregation protects client assets from PESL’s creditors in the event of insolvency, confirming that they remain the property of the clients at all times [C1].</t>
  </si>
  <si>
    <t>The Custody Statement outlines that client crypto-assets are held securely by Payward Europe Solutions Ltd. (PESL) through both cold and hot wallet storage solutions. Cold wallets are offline vaults designed for maximum security, while hot wallets are on-chain wallets that allow for frequent access to maintain liquidity for client withdrawals and trading activities. PESL exercises control over the cryptographic keys associated with these wallets through a quorum-based approval mechanism, ensuring that no third-party sub-custodians are used for safekeeping client crypto-assets [C1].
Client crypto-assets are clearly identified and segregated from PESL’s own assets. They are not co-mingled with PESL’s assets, ensuring they remain the property of the clients and are protected from PESL’s creditors in the event of insolvency. PESL may use an omnibus wallet to pool client crypto-assets, which means individual entitlements may not be identifiable, potentially exposing clients to settlement risks [C3]. The segregation of client assets is maintained through various measures, including clear designation and registration, regular reconciliation, and robust risk management procedures [C5].</t>
  </si>
  <si>
    <t>Which products or services does the Custody Statement identify when discussing PESL's client asset safeguarding?</t>
  </si>
  <si>
    <t>The Custody Statement identifies the following products and services offered by PESL related to client asset safeguarding:
1. The custody and administration of crypto-assets on behalf of clients.
2. The execution of orders for crypto-assets on behalf of clients.
3. The reception and transmission of orders for crypto-assets on behalf of clients.
4. The exchange of crypto-assets for funds.
5. The exchange of crypto-assets for other crypto-assets.
6. Providing transfer services for crypto-assets on behalf of clients.
7. Providing portfolio management on crypto-assets.
8. Providing placing of crypto-assets services [C3].</t>
  </si>
  <si>
    <t>The Custody Statement identifies the following products and services that PESL offers in relation to client asset safeguarding:
1. The custody and administration of crypto-assets on behalf of clients.
2. The execution of orders for crypto-assets on behalf of clients.
3. The reception and transmission of orders for crypto-assets on behalf of clients.
4. The exchange of crypto-assets for funds.
5. The exchange of crypto-assets for other crypto-assets.
6. Providing transfer services for crypto-assets on behalf of clients.
7. Providing portfolio management on crypto-assets.
8. Providing placing of crypto-assets services [C4].</t>
  </si>
  <si>
    <t>When do safeguarding obligations apply and when do they not apply under the Custody Statement?</t>
  </si>
  <si>
    <t>Safeguarding obligations apply from the point at which a client’s entitlement is recognized in PESL's internal books and records. This includes situations where the corresponding crypto-assets are still in transit to PESL’s custodial wallets. PESL remains liable for the safekeeping of those assets during this transit period.
Client crypto-assets will cease to be considered client assets when:
1. They are paid or transferred to the client, either directly or into an account with an eligible third party in the client's name, and are no longer under the control of PESL. For example, when a client instructs PESL to withdraw their crypto-assets to their private wallet address.
2. They are paid or transferred to a third party on the written instruction of the client and are no longer under the control of PESL. For example, when a client instructs PESL to transfer their crypto-assets to a third party's private wallet address.
Safeguarding obligations do not apply in the following circumstances:
- When crypto-assets are due and payable to PESL itself for services provided, such as when transaction fees are deducted from a client’s balance and removed from the client wallet in accordance with the Kraken Terms of Service [C1].</t>
  </si>
  <si>
    <t>Safeguarding obligations apply from the point at which a client’s entitlement is recognized in the internal books and records of Payward Europe Solutions Limited (PESL). This includes situations where the corresponding crypto-assets are still in transit to PESL’s custodial wallets, meaning PESL remains liable for the safekeeping of those assets despite any operational delays in their receipt [C1].
Safeguarding obligations do not apply in the following circumstances:
1. When crypto-assets are paid or transferred to the client, whether directly or into an account with an eligible third party in the name of the client, and are no longer under the control of PESL. For example, when a client instructs PESL to withdraw their crypto-assets to their private wallet address, the assets cease to be client assets.
2. When crypto-assets are paid or transferred to a third party on the written instruction of the client and are no longer under the control of PESL. For instance, if a client instructs PESL to transfer their crypto-assets to a third party, the assets will cease to be client assets once transferred to the third party’s private wallet address.
3. When crypto-assets are due and payable to PESL itself for the services provided, such as when transaction fees are deducted from a client’s balance [C1][C3].</t>
  </si>
  <si>
    <t>What security and incident response information should staff highlight from the Custody Statement?</t>
  </si>
  <si>
    <t>Staff should highlight the following key points regarding security and incident response from the Custody Statement:
1. **Private Key Protection**: All cryptographic keys are safeguarded using robust techniques and managed in secure environments with restricted access. Private keys are derived from a secure master key using hierarchical deterministic (HD) key derivation frameworks, ensuring structured generation and logical separation across asset types and networks. Private keys are divided and distributed across multiple independent systems to enforce multi-party control, and all generation processes occur within code-reviewed software environments. Keys are validated prior to use and are never exported or accessed outside approved secure systems [C1].
2. **Insurance Coverage**: The Kraken Group maintains an insurance policy against losses from cyber threats, fraud, and related operational incidents, providing additional protection beyond internal safeguards [C1].
3. **Incident Handling**: PESL has a formal incident response framework in place. All material security incidents are escalated within 24 hours, and if an incident meets the materiality or breach reporting thresholds, PESL will notify the relevant authorities without delay, in accordance with regulatory obligations [C1]. 
These points emphasize the commitment to security and the structured approach to incident management within the organization.</t>
  </si>
  <si>
    <t>From the Custody Statement, staff should highlight the following security and incident response information:
1. **Regulatory Compliance**: Payward Europe Solutions Ltd. (PESL), operating as Kraken, is authorized and regulated by the Central Bank of Ireland (CBI) and adheres to specific obligations under the Markets in Crypto-Assets Regulation (MiCAR) regarding the safeguarding of client assets [C1].
2. **Custody Policy**: PESL has a Custody Policy that includes internal rules and procedures designed to ensure the safekeeping and control of client crypto-assets, aiming to minimize the risk of loss due to fraud, cyber threats, or negligence [C2].
3. **Liability for Loss**: PESL's liability for the loss of any crypto-asset is limited to the market value of the asset at the time of loss, provided the loss is attributable to PESL. They are not liable for losses resulting from incidents not directly attributable to them, such as inherent problems in the operation of distributed ledgers or user errors [C3].
4. **Security Credentials**: Clients are responsible for keeping their security credentials secure. PESL may request clients to update their security credentials to prevent fraud or for security reasons [C4].
5. **Response to Security Breaches**: Clients must notify PESL immediately if they suspect any compromise of their account or security credentials. They are required to provide accurate information and take steps to mitigate any security breach [C5].
This information emphasizes the importance of security measures and the responsibilities of both PESL and clients in safeguarding crypto-assets.</t>
  </si>
  <si>
    <t>What does the Custody Statement say about wind-down and business continuity planning for client assets?</t>
  </si>
  <si>
    <t>The Custody Statement outlines that in the event of PESL ceasing operations, client crypto-assets remain protected in two scenarios: 
1. If operations are transferred to another entity within the Kraken Group, client services will continue uninterrupted, and the crypto-assets will remain safeguarded as described.
2. If PESL fully winds down its operations, client assets will be returned promptly to the client's nominated wallet address, based on verified records and supporting wallet balances [C1].</t>
  </si>
  <si>
    <t>The Custody Statement outlines that in the event of Payward Europe Solutions Limited (PESL) ceasing operations, client crypto-assets remain protected in the following ways:
1. If operations are transferred to another entity within the Kraken Group, client services will continue uninterrupted, and client crypto-assets will remain safeguarded as described in the policy.
2. If PESL fully winds down its operations, client assets will be returned promptly to the client's nominated wallet address, based on verified records and supporting wallet balances [C2].</t>
  </si>
  <si>
    <t>What risk warning should staff give when a user asks whether crypto-assets are safe or risk-free?</t>
  </si>
  <si>
    <t>Staff should inform users that trading and holding crypto-assets involves significant risks and may not be suitable for everyone. They should emphasize that Kraken does not provide any guarantees regarding the value, performance, or security of crypto-assets and accepts no liability for any losses that may arise from their use. Users are solely responsible for making their own independent decisions and ensuring compliance with applicable legal, tax, and regulatory requirements [C1]. Additionally, staff should highlight specific risks such as market volatility, liquidity issues, issuer and counterparty risks, and cybersecurity threats [C2][C5].</t>
  </si>
  <si>
    <t>Staff should inform users that trading and holding crypto-assets involves significant risks and that they are not safe or risk-free. Specifically, they should highlight the following points:
1. **Market Risk**: Crypto-asset prices are highly volatile and can fluctuate rapidly, potentially leading to substantial losses, including the full value of the investment [C1].
2. **Liquidity Risk**: Some crypto-assets may have low trading volumes, making it difficult to execute trades at desired prices or times, which can result in slippage or trading delays [C1].
3. **Cybersecurity Risk**: Despite safeguards, no system is immune to hacking or malware attacks, which could result in the loss or theft of assets [C2].
4. **Operational and Technology Risk**: Service disruptions due to technical failures may impact the ability to access the platform or execute trades [C2].
5. **Regulatory Risk**: The regulatory landscape for crypto-assets is evolving, and changes in laws may affect the legality or transferability of certain assets [C2].
6. **No Guarantees**: There are no guarantees of profits or returns, and past performance is not indicative of future results [C1].
Users should be encouraged to conduct their own research and understand all risks involved before engaging in crypto-asset transactions.</t>
  </si>
  <si>
    <t>Which financial risks does the MiCAR Risk Disclosure identify?</t>
  </si>
  <si>
    <t>The MiCAR Risk Disclosure identifies the following financial risks:
1. **Market Risk** - Crypto-asset prices are highly volatile and subject to rapid fluctuations, which may lead to substantial losses, including the full value of your investment.
2. **Liquidity Risk** - Certain crypto-assets may have low trading volumes, making it difficult to execute trades at desired prices or times, potentially causing slippage or trading delays.
3. **Issuer and Counterparty Risk** - There is a risk that third-party entities issuing or backing some crypto-assets may not fulfill their obligations, impacting the asset's value or redeemability.
4. **No Guarantee of Returns** - Crypto-asset trading is speculative, with no guarantees of profits or returns, and past performance is not indicative of future results.
5. **Tax Risk** - The tax treatment of crypto-assets varies by jurisdiction and may change over time, making users responsible for understanding and complying with their local tax obligations related to crypto-asset trading, income, and capital gains [C1].</t>
  </si>
  <si>
    <t>The MiCAR Risk Disclosure identifies the following financial risks:
1. **Market Risk** - Crypto-asset prices are highly volatile and subject to rapid fluctuations, which may lead to substantial losses, including the full value of your investment.
2. **Liquidity Risk** - Certain crypto-assets may have low trading volumes, making it difficult to execute trades at desired prices or times, potentially causing slippage or trading delays.
3. **Issuer and Counterparty Risk** - There is a risk that third-party entities backing some crypto-assets may not fulfill their obligations, impacting the asset's value or redeemability.
4. **No Guarantee of Returns** - Crypto-asset trading is speculative, with no guarantees of profits or returns, and past performance is not indicative of future results.
5. **Tax Risk** - The tax treatment of crypto-assets varies by jurisdiction and may change over time, making users responsible for understanding and complying with their local tax obligations related to crypto-asset trading, income, and capital gains [C1][C2].</t>
  </si>
  <si>
    <t>Which cybersecurity, custody, operational, fraud, and technology risks are described in the MiCAR Risk Disclosure?</t>
  </si>
  <si>
    <t>The MiCAR Risk Disclosure outlines the following risks:
1. **Cybersecurity Risk**: Despite having robust safeguards, systems are not immune to hacking, phishing, or malware attacks, which may lead to unauthorized access and result in loss or theft of assets [C1].
2. **Custody and Wallet Risk**: Assets held on the platform are secured using industry-standard technologies, but risks include loss of access to private keys, service disruptions, or breaches that could compromise stored funds [C1].
3. **Operational and Technology Risk**: Service disruptions may occur due to software bugs, system outages, or technical failures, potentially impacting users' ability to access the platform, execute trades, or withdraw assets [C1].
4. **Fraud and Financial Crime Risk**: The crypto industry is susceptible to scams, money laundering, and market manipulation. Although Kraken complies with AML/KYC regulations and conducts ongoing transaction monitoring, risks still exist [C1].</t>
  </si>
  <si>
    <t>The MiCAR Risk Disclosure outlines the following risks:
1. **Cybersecurity Risk**: Despite robust safeguards, systems may be vulnerable to hacking, phishing, or malware attacks, potentially leading to unauthorized access and loss or theft of assets.
2. **Custody and Wallet Risk**: Assets held on the platform are secured using industry-standard technologies, but risks include loss of access to private keys, service disruptions, or breaches that may compromise stored funds.
3. **Operational and Technology Risk**: Service disruptions may occur due to software bugs, system outages, or technical failures, impacting users' ability to access the platform, execute trades, or withdraw assets.
4. **Fraud and Financial Crime Risk**: The crypto industry is susceptible to scams, money laundering, or market manipulation. Although compliance with AML/KYC regulations and ongoing transaction monitoring is conducted, risks still exist [C1].</t>
  </si>
  <si>
    <t>What regulatory and jurisdictional risks are described in the MiCAR Risk Disclosure?</t>
  </si>
  <si>
    <t>The MiCAR Risk Disclosure outlines the following regulatory and jurisdictional risks:
1. **Regulatory Risk**: The regulatory landscape for crypto-assets is evolving, and changes in laws or guidance may affect the availability, transferability, or legality of certain crypto-assets or services [C1].
2. **Jurisdictional Restrictions**: The services provided may not be legally available in all countries, and it is the user's responsibility to ensure that their use of the platform complies with the laws of their jurisdiction [C4].</t>
  </si>
  <si>
    <t>The MiCAR Risk Disclosure outlines the following regulatory and jurisdictional risks:
1. **Regulatory Risk**: The regulatory landscape for crypto-assets is evolving, and changes in laws or guidance may affect the availability, transferability, or legality of certain crypto-assets or services [C1].
2. **Jurisdictional Restrictions**: Services may not be legally available in all countries, and it is the user's responsibility to ensure that their use of the platform complies with the laws of their jurisdiction [C2].</t>
  </si>
  <si>
    <t>What token design, white paper, blockchain, consensus, and collateralization risks should product teams consider?</t>
  </si>
  <si>
    <t>Product teams should consider the following risks related to token design, white paper, blockchain, consensus, and collateralization:
1. **Token Design and White Paper Risk**: Some crypto-assets may have complex or experimental technical designs. It is essential for users to review the associated white paper or summary to understand the features, risks, and rights before transacting [C1].
2. **Blockchain and Consensus Risk**: Crypto-assets rely on blockchain networks that may be subject to forks, bugs, or consensus failures. These issues can affect the asset's usability, value, or availability [C1].
3. **Collateralization Risk (Asset-Backed Risk)**: For asset-referenced tokens or crypto-assets claiming to be backed by reserve assets, there is a risk that the collateral may be insufficient, mismanaged, or not properly disclosed. If the issuer fails to maintain adequate reserves, the asset’s stability or redeemability may be compromised [C1]. 
These risks highlight the importance of thorough due diligence and risk assessment in the development and management of crypto-assets.</t>
  </si>
  <si>
    <t>Product teams should consider the following risks related to token design, white papers, blockchain, consensus, and collateralization:
1. **Token Design and White Paper Risk**: Some crypto-assets may have complex or experimental technical designs. Users should review the associated white paper or summary before transacting to understand the features, risks, and rights associated with the token [C1].
2. **Blockchain and Consensus Risk**: Crypto-assets rely on blockchain networks that may be subject to forks, bugs, or consensus failures. Such issues can affect the usability, value, or availability of the assets [C1].
3. **Collateralization Risk (Asset-Backed Risk)**: For asset-referenced tokens or crypto-assets that claim to be backed by reserves, there is a risk that the actual backing may not be sufficient or may not exist as claimed, which can lead to a loss of value for the token [C1]. 
These risks highlight the importance of thorough due diligence and understanding of the underlying technology and regulatory environment when developing or investing in crypto-assets.</t>
  </si>
  <si>
    <t>If a user asks for investment, legal, tax, or financial advice, what disclaimer should staff rely on?</t>
  </si>
  <si>
    <t>Staff should rely on the disclaimer stating that the platform does not provide investment, legal, tax, or other forms of advice. Users are encouraged to seek independent financial, legal, regulatory, tax, or other advice before making any investment decisions. This is supported by the information in both the MiCAR Risk Disclosure [C1] and the EEA Terms of Service [C2].</t>
  </si>
  <si>
    <t>Staff should rely on the disclaimer that states Kraken does not provide investment, legal, tax, or financial advice. Users are advised to consult a qualified professional before making any investment decisions, and they should not rely on any statements made by Kraken as recommendations or guidance regarding trades, investments, tax, or similar issues [C1][C5].</t>
  </si>
  <si>
    <t>Which execution venues are described in the Order Execution Policy Summary?</t>
  </si>
  <si>
    <t>The Order Execution Policy Summary describes a single execution venue: Payward Global Solutions Limited (the “PGSL Trading Platform” or “PGSL”) [C1].</t>
  </si>
  <si>
    <t>What execution factors does the Order Execution Policy Summary say should be considered?</t>
  </si>
  <si>
    <t>The Order Execution Policy Summary states that PESL will take into account the following execution factors when executing client orders:
1. Price: The actual market price at which a crypto-asset is bought or sold, influenced by the bid-ask spread, market liquidity, order book depth, and volatility.
2. Cost: The total expenses incurred by the client for executing the order.
3. Market Liquidity: The availability of buy and sell orders at various price levels.
4. Execution Speed: The time taken to complete a trade.
5. Likelihood of Execution: The probability that an order will be completed as requested.
6. Likelihood of Settlement: The assurance that a completed trade will be settled without issues.
7. Size / Frequency of Orders: The size of an order can impact its execution, especially in less liquid markets, where large orders may lead to slippage or adverse market impact [C1].</t>
  </si>
  <si>
    <t>The execution factors that the Order Execution Policy Summary states should be considered are:
1. Price: The actual market price at which a crypto-asset is bought or sold, including the bid-ask spread, influenced by market liquidity, order book depth, and volatility.
2. Cost: The total expenses incurred by the client for executing the order.
3. Market Liquidity: The availability of buy and sell orders at various price levels.
4. Execution Speed: The time taken to complete a trade.
5. Likelihood of Execution: The probability that an order will be completed as requested.
6. Likelihood of Settlement: The assurance that a completed trade will be settled without issues.
7. Size / Frequency of Orders: The impact of the order size on execution, especially in less liquid markets, where large orders may lead to slippage or adverse market impact [C1].</t>
  </si>
  <si>
    <t>What warning should staff give when a client provides specific instructions for an order?</t>
  </si>
  <si>
    <t>Staff should warn clients that when they provide specific instructions regarding any aspect of their order, such as price limits, timing preferences, or method of execution, PESL will execute the order according to those instructions. However, this may result in some or all of PESL’s best execution arrangements not being applied, which could lead to less favorable pricing, slower execution, or increased costs of execution [C1].</t>
  </si>
  <si>
    <t>Staff should warn clients that when they provide specific instructions regarding any aspect of their order, such as price limits, timing preferences, or method of execution, the execution may not adhere to PESL’s best execution arrangements. This could result in different outcomes, including less favorable pricing, slower execution, or increased costs of execution [C1].</t>
  </si>
  <si>
    <t>How does the Order Execution Policy Summary describe order handling?</t>
  </si>
  <si>
    <t>The Order Execution Policy Summary describes order handling as follows: PESL routes all client orders to the PGSL Central Limit Order Book (CLOB) via an automated system that supports effective record-keeping and reconciliation. By submitting an order, the client authorizes PESL to execute it on the PGSL CLOB according to the client's instructions. Orders remain active until they are filled, cancelled, or expired. Once received, instructions are updated in the PGSL CLOB unless restricted by PGSL for market protection or stability purposes. The CLOB operates on a price-time priority, meaning better-priced orders are matched first, and orders with the same price are resolved by the earliest submission time. Upon execution, client account balances are updated, and trade confirmations are issued. Settlement is immediate, with client accounts debited and credited accordingly. Crypto-assets can be withdrawn immediately, subject to any withdrawal limits. All executed trades are considered final and cannot be reversed, being recorded in the client’s trading history. PESL's duty to provide the client with best execution does not imply any fiduciary responsibilities beyond specific regulatory obligations or contracts with the client. The client is responsible for their own investment decisions, and PESL is not liable for any market trading losses resulting from those decisions. PESL may deviate from its standard order execution policy during adverse market conditions to protect client outcomes, market integrity, or operational stability [C1].</t>
  </si>
  <si>
    <t>The Order Execution Policy Summary describes order handling as follows:
1. **Order Routing**: PESL routes all client orders to the Payward Global Solutions Limited (PGSL) Central Limit Order Book (CLOB) via an automated system that supports effective record-keeping and reconciliation. By submitting an order, clients authorize PESL to execute it on the PGSL CLOB according to their instructions.
2. **Order Activity**: Orders remain active until they are filled, cancelled, or expired. Once received, instructions are updated in the PGSL CLOB unless restricted by PGSL for market protection or stability purposes.
3. **Order Matching**: The CLOB operates on a price-time priority, meaning better-priced orders are matched first, and orders with the same price are resolved by the earliest submission time.
4. **Execution and Settlement**: Upon execution, client account balances are updated, and trade confirmations are issued. Settlement is immediate, with client accounts debited and credited accordingly. Crypto-assets can be withdrawn immediately, subject to any withdrawal limits.
5. **Finality of Trades**: All executed trades are considered final, cannot be reversed, and are recorded in the client’s trading history [C1].</t>
  </si>
  <si>
    <t>What client order information procedures are described in the Order Execution Policy Summary?</t>
  </si>
  <si>
    <t>The client order information procedures described in the Order Execution Policy Summary include the implementation of strict confidentiality controls to prevent employees from misusing client order information. These measures are designed to ensure the integrity and confidentiality of client order information and uphold high ethical standards. The controls consist of information barriers, system access controls, and regular employee training. Additionally, PESL strictly prohibits all forms of market abuse and has deployed systems to prevent and detect such activity [C1].</t>
  </si>
  <si>
    <t>The client order information procedures described in the Order Execution Policy Summary include the implementation of strict confidentiality controls to prevent employees from misusing client order information. These measures are designed to ensure the integrity and confidentiality of client order information and to uphold high ethical standards. The controls include information barriers, system access controls, and regular employee training. Additionally, PESL strictly prohibits all forms of market abuse and has deployed systems to prevent and detect such activity [C2].</t>
  </si>
  <si>
    <t>How are the order execution policy and material changes monitored, reviewed, or notified?</t>
  </si>
  <si>
    <t>The order execution policy is monitored and reviewed by PESL, which regularly assesses the PGSL Trading Platform and conducts an annual review of the effectiveness of the policy. If any deficiencies are identified, PESL will remedy them as appropriate. Additionally, PESL will notify clients of any material changes to the policy, which may include updates to execution factors, adjustments to the list of execution venues, or revisions to internal processes. Notifications may be communicated through existing channels such as email or pop-up notifications in the customer interface [C1].</t>
  </si>
  <si>
    <t>PESL will regularly review its assessment of the PGSL Trading Platform and, on an annual basis, will assess the effectiveness of the Order Execution Policy. If any deficiencies are identified, appropriate remedies will be implemented [C1]. Additionally, PESL will notify clients of any material changes to this Policy, which may involve updates [C1].</t>
  </si>
  <si>
    <t>What personal data may Kraken collect during account opening and ongoing service use?</t>
  </si>
  <si>
    <t>Kraken may collect the following personal data during account opening and ongoing service use:
1. **Biographical information and contact information**: This includes your full name, residential address, contact details (e.g., email address, telephone number), date of birth, place of birth, gender, residency, and citizenship.
2. **Financial and tax information**: This encompasses bank account information, wallet addresses, credit and debit card details, details about your source of funds, assets and liabilities, information relating to economic and trade sanctions lists, and tax-related information such as tax identification numbers and tax residency status.
3. **Verification information**: This is required to assess your application and comply with applicable laws and regulations, particularly concerning anti-money laundering and crime and fraud prevention [C1].</t>
  </si>
  <si>
    <t>Kraken may collect personal data such as your identity, address, company details, and other information you provide during the account opening process and ongoing service use. This data is necessary for Kraken to assess your application and comply with applicable laws and regulations [C1][C5].</t>
  </si>
  <si>
    <t>What legal justifications does the Privacy Notice give for processing personal data?</t>
  </si>
  <si>
    <t>The Privacy Notice provides several legal justifications for processing personal data, which include:
1. **Performance of a contract**: This applies when processing is necessary to provide products and services, manage card transactions, and perform account-related functions such as signup, onboarding, and ongoing access [C1].
2. **Legal obligation**: This justification is relevant for conducting credit or identity checks to comply with Know Your Customer (KYC) and customer due diligence regulatory obligations, as well as for notifying users of changes to products or services as required by law [C1][C4].
3. **Legitimate interest**: This includes processing for purposes such as preventing and detecting potential crime or fraud, conducting internal research and analysis, ensuring accurate address records, and improving products and services through statistical analysis [C1][C4][C5].
These justifications are based on the necessity of processing personal data for various operational, legal, and business purposes.</t>
  </si>
  <si>
    <t>The Privacy Notice provides the following legal justifications for processing personal data:
1. **Performance of a contract**: This includes providing products and services, processing orders and transactions, payment processing, and account-related functions such as signup, onboarding, and ongoing access [C2].
2. **Consent**: Processing based on consent can occur, and individuals have the right to withdraw this consent at any time [C3].
3. **Legal obligations**: Personal data may be processed to comply with legal requirements [C4].
These justifications are essential for ensuring that personal data is handled in accordance with applicable laws and regulations.</t>
  </si>
  <si>
    <t>When may Kraken disclose personal data to other parties?</t>
  </si>
  <si>
    <t>Kraken may disclose personal data to other parties under several circumstances:
1. **With Consent**: Kraken may disclose your name and email to Trustpilot with your consent to enable you to leave a review without creating a full Trustpilot account [C1].
2. **Legal Compliance**: Kraken may disclose personal data to governmental, regulatory, or law enforcement authorities as required by applicable laws, including those related to anti-money laundering and economic sanctions [C1].
3. **Business Operations**: Personal data may be shared within the Kraken company group and with carefully selected third parties for legitimate purposes, such as operational support in areas like compliance, payment processing, and marketing [C2].
4. **Identity Verification**: Depending on your jurisdiction, Kraken may disclose personal data to telecommunication providers or mobile network operators for identity verification purposes [C2].
5. **Fraud and Crime Investigation**: Personal data may be disclosed to banking and payments partners for investigating potential sanctions violations and crimes, including fraud and money laundering [C2].
6. **Referral Programs**: If you sign up using a referral link, Kraken may share your first name with the referring user for attribution and reward purposes [C2].
7. **Mergers and Acquisitions**: Kraken may disclose personal data in the event of a prospective merger, acquisition, or sale of all or part of its business or assets [C1].
8. **Independent Data Controllers**: Third parties receiving personal data may act as independent data controllers for specific processing activities [C1][C3].
These disclosures are made in accordance with applicable data protection laws and regulations.</t>
  </si>
  <si>
    <t>Kraken may disclose personal data to other parties in several circumstances, including:
1. In response to court orders or other lawful requests made by governmental, regulatory, or law enforcement authorities, including those outside the jurisdiction where the individual resides, as required by applicable laws [C3].
2. For legitimate purposes and when it is lawful to do so, such as sharing data with third-party service providers and business partners for operational support in areas like compliance, fraud prevention, and identity verification [C2].
3. In the event of a prospective merger, acquisition, or sale of all or part of Kraken's business or assets [C1].
4. To banking and payments partners for investigating and responding to potential sanctions violations and crimes, including fraud and money laundering [C2].
5. When a user signs up using a referral link, Kraken may share the user's first name with the referring user [C2].
6. For participation in loyalty programs, where pseudonymised and aggregated information may be shared with partners [C3].
7. With consent, Kraken may disclose personal data to third parties like Trustpilot for review purposes [C3].
In all cases, Kraken requires recipients to process the data in line with applicable data protection laws [C2].</t>
  </si>
  <si>
    <t>What does the Privacy Notice say about how Kraken protects personal data?</t>
  </si>
  <si>
    <t>Kraken takes the security of personal data very seriously. The Privacy Notice states that Kraken has information security practices in place to protect personal data, although specific details about these practices are not provided in the excerpt. For additional information on their information security practices, users are directed to click on provided links in the document [C2].</t>
  </si>
  <si>
    <t>Kraken takes the security of personal data incredibly seriously. For additional information on their information security practices, users are directed to specific links provided in the Privacy Notice. However, the exact details of these security practices are not specified in the provided context [C2].</t>
  </si>
  <si>
    <t>Where may Kraken store personal data and how does the Privacy Notice address international transfers?</t>
  </si>
  <si>
    <t>Kraken may store personal data in various locations, including outside of your home jurisdiction, as it may transfer personal data to other Kraken group companies, service providers, and business partners. The Privacy Notice addresses international transfers by stating that such transfers are conducted in accordance with lawful transfer mechanisms. For transfers from the EEA and the UK, Kraken relies on adequacy decisions where available, which means the destination country has been recognized as providing an equivalent standard of data protection. In cases where adequacy decisions are not available, Kraken may use mechanisms such as consent, legal obligations, execution of agreements, or contractual safeguards, including the European Commission’s Standard Contractual Clauses (SCCs) and the ICO’s International Data Transfer Agreement (IDTA) or the UK Addendum to the EU SCCs [C1].</t>
  </si>
  <si>
    <t>Kraken may store personal data in various locations, including the European Union, Australia, the United Kingdom, the United States of America, and other jurisdictions around the world [C2]. The Privacy Notice states that personal data may be transferred outside of the individual's home jurisdiction to other Kraken group companies, service providers, and business partners, and such transfers are conducted in accordance with lawful transfer mechanisms [C2]. For transfers from the EEA and the UK, Kraken relies on adequacy decisions where available, which means the destination country has been recognized as providing an equivalent standard of data protection [C2]. In cases where adequacy decisions are not available, Kraken may use mechanisms such as consent, legal obligations, or contractual safeguards, including the European Commission’s Standard Contractual Clauses [C2].</t>
  </si>
  <si>
    <t>What rights can users exercise over their personal data according to the Privacy Notice?</t>
  </si>
  <si>
    <t>According to the Privacy Notice, users can exercise the following rights regarding their personal data:
1. **Confirmation and Access**: Users can request confirmation of whether their personal data is being processed and obtain a copy of that information [C1].
2. **Rectification**: Users have the right to have their personal data corrected if it is inaccurate or incomplete [C1].
3. **Erasure**: Users can request the deletion, removal, blocking, or anonymization of their personal data in certain circumstances [C1].
4. **Processing Restrictions**: Users can ask to block or suppress the processing of their personal data under specific conditions [C2].
5. **Data Portability**: Users may have the right to obtain their personal data in a structured, commonly used, and machine-readable format and to transfer it to a third party [C2].
6. **Objection**: Users can request to stop the processing of their personal data under certain conditions, such as for direct marketing [C2].
7. **Automated Decision-Making and Profiling**: Users can contest decisions made solely based on automated processes and request human intervention [C4].
8. **Complaints**: Users have the right to complain to a competent data protection authority and are encouraged to reach out to Kraken first to address any concerns [C4].
9. **Withdraw Consent**: Users can withdraw consent for processing based on consent at any time [C4]. 
These rights are subject to any limitations provided for under applicable data protection laws.</t>
  </si>
  <si>
    <t>Users can exercise the following rights over their personal data according to the Privacy Notice:
1. **Confirmation and Access**: Users can request confirmation of whether their personal data is being processed and obtain a copy of that information [C1].
2. **Rectification**: Users have the right to request the correction of inaccurate or incomplete personal data [C1].
3. **Erasure**: Users can ask for their personal data to be deleted, removed, blocked, or anonymised under certain circumstances [C3].
4. **Processing Restrictions**: Users can request to block or suppress the processing of their personal data in specific situations [C3].
5. **Data Portability**: Users may have the right to obtain their personal data in a structured, commonly used, and machine-readable format and to transfer it to a third party [C2].
6. **Objection**: Users can request to stop the processing of their personal data under certain conditions, such as for direct marketing purposes [C2].
7. **Automated Decision-Making and Profiling**: Users can contest decisions made solely based on automated processes and request human intervention [C2].
8. **Withdraw Consent**: Users have the right to withdraw consent for processing based on consent at any time [C4].
9. **Complaints**: Users have the right to complain to a competent data protection authority, although they are encouraged to first reach out to Kraken to address any concerns [C2][C4].</t>
  </si>
  <si>
    <t>What does the Privacy Notice say about personal data retention?</t>
  </si>
  <si>
    <t>The Privacy Notice states that Kraken retains personal data as necessary to fulfill the purposes for which it was collected, comply with legal and regulatory obligations, and establish, exercise, or defend legal claims. When personal data is no longer necessary, Kraken will either remove identifying details or securely destroy the relevant records. However, for legal and regulatory reasons, records may need to be maintained for a significant period after a client ceases to be a client, such as for managing disputes or legal claims. Specifically, anti-money laundering laws may require retention of certain records for a period (e.g., 5 years) after the business relationship has ended. This includes records used for client due diligence, supporting evidence of transactions, and the relationship with the client. Personal data may be retained for longer than 5 years if it cannot be deleted for legal, regulatory, or technical reasons. Additionally, Kraken retains on-chain interaction and attestation information for operational, security, and integrity purposes [C2].</t>
  </si>
  <si>
    <t>The Privacy Notice states that Kraken retains personal data as necessary to fulfill the purposes for which it was collected, to comply with legal and regulatory obligations, and to establish, exercise, or defend legal claims. When personal data is no longer necessary for these purposes, Kraken will remove any identifying details or securely destroy the relevant records. Additionally, for legal and regulatory reasons, Kraken may need to maintain records for a significant period after a client ceases to be a client, such as for anti-money laundering laws which may require retention for a specific period, like five years [C4].</t>
  </si>
  <si>
    <t>What privacy considerations does the Privacy Notice describe when users use digital assets and blockchains?</t>
  </si>
  <si>
    <t>The Privacy Notice describes several privacy considerations when users use digital assets and blockchains:
1. **Public Blockchain Records**: Transactions involving digital assets, including those related to DeFi products or services, may be recorded on a public blockchain. These blockchains are designed to immutably record transactions, which means that once a transaction is recorded, it cannot be erased, modified, or altered by Kraken or any other entity [C1].
2. **Forensic Analysis and Re-identification**: Public blockchains are open to forensic analysis, which can lead to the re-identification of individuals involved in transactions. This risk increases when blockchain data is combined with other data sources, potentially revealing personal information [C1].
3. **Immutable Attestations**: By using Kraken Verify, users acknowledge that their attestations will be recorded on a public blockchain. These attestations are immutable, meaning they cannot be modified or deleted once recorded [C1].
4. **Linking to Identity Verification**: Linking an attestation to a Kraken-verified wallet may allow third parties to infer that the wallet owner has undergone Kraken’s identity verification process, which could further compromise privacy [C1].
Overall, users should be aware that their activities on public blockchains may expose their personal data and that Kraken has no control over the data once it is recorded on these networks.</t>
  </si>
  <si>
    <t>The Privacy Notice describes several privacy considerations when users use digital assets and blockchains:
1. **Public Blockchain Records**: The use of digital assets, including DeFi products or services, may be recorded on a public blockchain. These blockchains are distributed ledgers that immutably record transactions, which can be subject to forensic analysis, potentially leading to the re-identification of individuals and the revelation of personal data when combined with other data [C3].
2. **Immutability of Data**: By using Kraken Verify, users acknowledge that their attestations will be recorded on a public blockchain, which are immutable and cannot be modified or deleted. This means that once the data is recorded, it cannot be erased [C3].
3. **Linking to Identity Verification**: Linking an attestation to a Kraken-verified wallet may allow third parties to infer that the wallet owner has undergone Kraken’s identity verification process, which raises additional privacy concerns regarding the association of personal identity with blockchain activity [C3].
These considerations highlight the importance of understanding the implications of using digital assets and the potential risks to personal privacy associated with blockchain technology.</t>
  </si>
  <si>
    <t>Which Terms of Service should staff point a user to depending on whether they live in Canada, the EEA, or elsewhere?</t>
  </si>
  <si>
    <t>Staff should point users to the following Terms of Service based on their location:
- If the user resides in Canada, they should be directed to the separate Canadian Terms of Service.
- If the user resides in the European Economic Area (EEA), they should be directed to the EEA Terms of Service.
- If the user resides elsewhere (outside of Canada and the EEA), they should be directed to the Global Terms of Service [C1][C3].</t>
  </si>
  <si>
    <t>Staff should point users to the following Terms of Service based on their location:
- Users residing in the European Economic Area (EEA) should be directed to the EEA Terms of Service [C1].
- Users residing in Canada should be directed to the Global Terms of Service [C3].
- Users located outside of the EEA or Canada should be directed to the separate Terms of Service that apply to them, as the specific terms for those regions are not detailed in the provided documents.</t>
  </si>
  <si>
    <t>What general information, tax, and risk disclaimer appears in the Terms of Service overview page?</t>
  </si>
  <si>
    <t>The Terms of Service overview page includes the following general information, tax, and risk disclaimer:
1. **Investment Risk**: It states that you should not invest unless you're prepared to lose all the money you invest, highlighting that it is a high-risk investment and you should not expect to be protected if something goes wrong [C2].
2. **No Insurance**: It clarifies that Kraken is not a bank or other depository institution, and that your account and digital assets are not covered by insurance against losses or subject to protections from organizations like the Federal Deposit Insurance Corporation or Securities Investor Protection Corporation [C2].
3. **Legal Disclosures**: It mentions that certain legal disclosures are required by law and can be found on the Legal Disclosures page, which is incorporated into the Terms by reference. These disclosures may be jurisdiction-specific [C5]. 
This information emphasizes the risks associated with using Kraken's services and the lack of insurance protections for accounts and digital assets.</t>
  </si>
  <si>
    <t>The Terms of Service overview page includes the following general information, tax, and risk disclaimer:
1. **High-Risk Investment Warning**: It states that you should not invest unless you are prepared to lose all the money you invest, as it is a high-risk investment and you should not expect to be protected if something goes wrong [C1].
2. **No Insurance**: It clarifies that Kraken is not a bank or other depository institution, and your account and digital assets are not covered by insurance against losses or subject to protections from organizations like the Federal Deposit Insurance Corporation or Securities Investor Protection Corporation [C1].
3. **Risks and Liability**: The Terms of Service cover risks associated with using their services, your responsibility for taking on risk, and limit Kraken's liability to you, as well as the remedies you may have against them [C1][C2]. 
This information emphasizes the importance of understanding the risks involved in using Kraken's services.</t>
  </si>
  <si>
    <t>What are the basic eligibility and account conditions in the Global Terms of Service?</t>
  </si>
  <si>
    <t>The basic eligibility and account conditions in the Global Terms of Service are as follows:
1. If you are an individual, you must be old enough to legally form a binding contract in your jurisdiction (in the USA, that is 18 years old, but it may vary elsewhere).
2. If you are an entity, you must be duly organized and validly existing under the applicable laws of your jurisdiction.
3. You must have a current and valid email address, mobile phone number, and street address.
4. You must have full power and authority to enter into the Terms without violating any other agreement you have made.
5. You must not have been restricted from using the services.
6. If you are an individual, you must not be located in, under the control of, or resident in any sanctioned or embargoed jurisdiction (including Crimea, Cuba, Donetsk, Iran, Luhansk, North Korea, Russia, Belarus, and Syria), or any jurisdiction where services may be restricted.
7. If you are an individual, you must not be listed on the Office of Foreign Assets Control of the U.S. Department of Treasury’s Specially Designated Nationals and Blocked Persons List, or other similar lists [C1].</t>
  </si>
  <si>
    <t>The basic eligibility and account conditions in the Global Terms of Service are as follows:
1. **Individuals** must:
   - Be old enough to legally form a binding contract in their jurisdiction (in the USA, this is 18 years old, but it may vary elsewhere).
   - Not be located in, under the control of, or a resident of any sanctioned or embargoed jurisdiction (including Crimea, Cuba, Donetsk, Iran, Luhansk, North Korea, Russia, Belarus, and Syria).
   - Not be listed on the Office of Foreign Assets Control's Specially Designated Nationals and Blocked Persons List, the U.S. Department of Commerce’s Denied Persons List, or other relevant watchlists.
2. **Entities** must:
   - Be duly organized and validly existing under the applicable laws of their jurisdiction.
   - Not be directly or indirectly owned or controlled by any person located in, under the control of, or organized or resident in any sanctioned or embargoed jurisdiction.
   - Not be listed on the aforementioned watchlists.
3. All users must:
   - Have a current and valid email address, mobile phone number, and street address.
   - Have full power and authority to enter into the Terms without violating any other agreements.
   - Not have been restricted from using the services [C1].</t>
  </si>
  <si>
    <t>What limitations can prevent a global user from completing a crypto withdrawal or fiat redemption?</t>
  </si>
  <si>
    <t>A global user may face several limitations that can prevent them from completing a crypto withdrawal or fiat redemption, including:
1. **Minimum Balance Requirements**: If the balance of Digital Assets or Fiat Balance in the user's account is less than any minimum balance requirements, they cannot make a withdrawal or redemption [C1][C2].
2. **Open Positions**: Users cannot withdraw or redeem amounts needed to satisfy any of their open positions [C1][C2].
3. **Outstanding Fees**: If there are any fees owed by the user, they cannot complete a withdrawal or redemption [C1][C2].
4. **Financial Account Issues**: A withdrawal or redemption may not be completed if the Financial Account rejects the Digital Assets or Fiat Balance, or if the Financial Account is unavailable [C1][C2].
5. **Suspension of Services**: Kraken reserves the right to suspend a user's ability to make withdrawals or redemptions for an indeterminate amount of time to ensure compliance with terms or legal obligations [C3].
These limitations can affect the user's ability to access their funds as intended.</t>
  </si>
  <si>
    <t>A global user may face several limitations that can prevent the completion of a crypto withdrawal or fiat redemption, including:
1. **Insufficient Balance**: Withdrawals or redemptions cannot be completed if the balance of Digital Assets or Fiat Currency in the user's account is less than any minimum balance requirements, amounts needed to satisfy open positions, or any fees owed by the user [C4].
2. **Financial Account Issues**: Withdrawals or redemptions may not be completed if the Financial Account rejects the user's Digital Assets or Fiat Balance, or if the Financial Account is unavailable [C1][C2].
3. **Rejection by Kraken**: Kraken reserves the right to reject any withdrawal or redemption at any time and without notice, or to impose limits on the magnitude and frequency of withdrawals or redemptions [C1][C2].
4. **Suspension of Services**: Kraken may suspend a user's ability to make withdrawals or redemptions altogether for an indeterminate amount of time to ensure compliance with terms or legal obligations [C1][C2].
5. **Finality of Transactions**: Once initiated, withdrawals and redemptions are final and non-reversible, meaning that if there are issues during the process, the user may not be able to cancel the transaction [C1][C2].
These limitations highlight the importance of ensuring adequate balances and compliance with Kraken's terms before initiating withdrawals or redemptions.</t>
  </si>
  <si>
    <t>When can Kraken refuse, cancel, or correct a trade or order under the Global Terms?</t>
  </si>
  <si>
    <t>Kraken reserves the right to refuse, cancel, or correct a trade or order at its sole discretion for any reason. This includes, but is not limited to, situations where the order type you choose may not be executed as intended (e.g., limit orders), or if Kraken determines that your actions or use of its services violates the Terms. Additionally, Kraken may reject or cancel recurring or custom trades in whole or in part without liability, and it may suspend or delay such trades without notice [C1][C3][C2].</t>
  </si>
  <si>
    <t>Kraken can refuse, cancel, or correct a trade or order at its sole discretion, including but not limited to the following circumstances:
1. If you do not have sufficient Digital Assets or Fiat Balance held or reflected in your account [C2].
2. Kraken may reject any trade or other transaction, whether confirmed by you or not, without liability to you [C1].
3. Kraken can impose limits on trades, such as limiting the number of open bids, offers, or orders, or restricting trades from certain locations [C2].
Additionally, Kraken reserves the right to modify or discontinue services, suspend or terminate access to services, and reject any deposit, withdrawal, trade, or other transaction at any time and without prior notice [C3].</t>
  </si>
  <si>
    <t>What do the Global Terms say about supported digital assets and fiat currencies changing over time?</t>
  </si>
  <si>
    <t>The Global Terms of Service state that the Digital Assets and Fiat Currency supported by the services may change at any time, without notice, at the sole discretion of Kraken. Certain Digital Assets or Fiat Currencies may not be available for Trades, Deposits, Issuances, Withdrawals, or Redemptions in certain jurisdictions. The availability of these assets does not guarantee that they will continue to be available in the future. Users are solely responsible for monitoring which Digital Assets and Fiat Currency are supported, and Kraken is not liable for the discontinuation of support for any particular asset, even if users are engaged in time-sensitive transactions. Kraken reserves the right to take necessary actions to discontinue support, including canceling trade instructions and requiring the removal of discontinued assets from accounts within a reasonable period of time [C1].</t>
  </si>
  <si>
    <t>The Global Terms of Service state that the Digital Assets and Fiat Currency supported by the services may change at any time, without notice, at the sole discretion of the company. It is the user's responsibility to monitor which Digital Assets and Fiat Currency are supported. The company is not liable for the discontinuation of support for any particular Digital Asset or Fiat Currency, even if the user is engaged in time-sensitive activities such as Trades, Deposits, Issuances, Withdrawals, or Redemptions. The company reserves the right to take necessary actions to discontinue support, including canceling trade instructions and requiring the removal of discontinued Digital Assets or Fiat Balances from the user's account within a reasonable period of time [C1].</t>
  </si>
  <si>
    <t>What no-insurance and risk warning appears in the Global Terms of Service?</t>
  </si>
  <si>
    <t>The Global Terms of Service includes a no-insurance and risk warning stating that Kraken is not a bank or other depository institution, and that your account is not a deposit account or bank account. It specifies that neither your account nor your digital assets are covered by insurance against losses or subject to Federal Deposit Insurance Corporation (FDIC) or Securities Investor Protection Corporation (SIPC) protections, or the protections of any comparable organization anywhere in the world. Additionally, it emphasizes that you should not invest unless you are prepared to lose all the money you invest, as it is a high-risk investment and you should not expect to be protected if something goes wrong [C1][C2].</t>
  </si>
  <si>
    <t>The Global Terms of Service includes a no-insurance warning stating that Kraken is not a bank or other depository institution, and that your account is not a deposit account or bank account. It specifies that neither your account nor your digital assets are covered by insurance against losses or subject to protections from the Federal Deposit Insurance Corporation (FDIC), Securities Investor Protection Corporation (SIPC), or any comparable organization anywhere in the world [C1][C2]. 
Additionally, there is a risk warning indicating that there are substantial risks associated with using Kraken's services, including conducting trades, and that users should carefully consider whether using the services is suitable for them based on their circumstances, knowledge, and financial resources. It emphasizes that access to and use of the services is at the user's own risk, and Kraken is not liable for any losses incurred from such risks [C2][C3].</t>
  </si>
  <si>
    <t>Which Crypto-asset Core Services and E-money Core Services are described in the EEA Terms?</t>
  </si>
  <si>
    <t>The Crypto-asset Core Services described in the EEA Terms include:
1. Exchanging Crypto-assets for Fiat Currency or other Crypto-assets.
2. Adding Crypto-assets into your Account and withdrawing Crypto-assets from your Account.
3. Transferring Crypto-assets between your Account and other Accounts, external parties, or wallets.
4. Custody of Crypto-assets [C1].
The E-money Core Services described in the EEA Terms include:
1. Opening and closing a Kraken Fiat Currency Account (Kraken E-Money Wallet).
2. Issuing Fiat Currency to your Kraken E-Money Wallet when you make a corresponding deposit.
3. Redeeming Fiat Currency in your Kraken E-Money Wallet when you make a corresponding withdrawal.
4. Issuing or redeeming Fiat Currency in your Kraken E-Money Wallet when you elect to make a purchase or sale of Crypto-assets using the services or receive or transmit Fiat Currency to or from another Kraken client [C1].</t>
  </si>
  <si>
    <t>The Crypto-asset Core Services described in the EEA Terms include:
1. Exchanging Crypto-assets for Fiat Currency or other Crypto-assets.
2. Adding Crypto-assets into your Account and withdrawing Crypto-assets from your Account.
3. Transferring Crypto-assets between your Account and other Accounts, external parties, or wallets.
4. Custody of Crypto-assets [C1][C2].
The E-money Core Services described in the EEA Terms include:
1. Opening and closing a Kraken Fiat Currency Account (Kraken E-Money Wallet).
2. Issuing Fiat Currency to your Kraken E-Money Wallet when you make a corresponding deposit.
3. Redeeming Fiat Currency in your Kraken E-Money Wallet when you make a corresponding withdrawal.
4. Issuing or redeeming Fiat Currency in your Kraken E-Money Wallet when you elect to make a purchase or sale of Crypto-assets or receive/transmit Fiat Currency to/from another Kraken client.
5. Transferring Fiat Currency from your Kraken E-Money Wallet to a nominated bank account by way of a credit transfer [C1][C4][C5].</t>
  </si>
  <si>
    <t>What client verification obligations do the EEA Terms describe?</t>
  </si>
  <si>
    <t>The EEA Terms of Service describe several client verification obligations, including:
1. **Client Identification**: Under applicable law, Kraken must apply client identification checks before establishing a business relationship or conducting transactions with a client. Clients will not be considered as such until all internal checks, including anti-money laundering checks, are satisfied [C2].
2. **KYC Information**: Kraken will rely on the Know Your Customer (KYC) information and verification processes conducted when opening an Account. Additional information may be required to meet regulatory requirements [C2].
3. **Ongoing Verification**: Kraken reserves the right to verify or re-confirm a client's identity at any time while they hold an Account. This may involve using third-party verification providers [C2].
4. **Information Provision**: Clients are required to provide all information reasonably requested by Kraken to verify their identity. This may include documents such as a passport or proof of address. Clients must ensure that the information provided is true, accurate, and complete [C2].
5. **Response to Verification Requests**: If a client does not respond to a request from Kraken to verify or re-confirm their Account within the specified timeframe, Kraken may suspend the Account [C2].
These obligations are in place to ensure compliance with applicable laws and to protect against fraud and financial crime.</t>
  </si>
  <si>
    <t>The EEA Terms of Service describe several client verification obligations, including:
1. **Client Identification Procedures**: Under applicable law, Kraken must apply client identification procedures and conduct client due diligence when establishing a business relationship or carrying out transactions with a client. A client will not be considered valid unless all internal checks, including anti-money laundering checks, are satisfied [C1].
2. **Authorization for Enquiries**: Clients authorize Kraken to make necessary enquiries to verify their identity, confirm eligibility criteria, and protect against fraud or financial crime. Kraken may disclose personal data to credit reference and fraud prevention agencies, which may respond to these enquiries [C1].
3. **Provision of Verification Information**: Clients are required to provide all information reasonably requested by Kraken to verify their identity. This may include documents such as a passport or proof of address. Clients must ensure that the information provided is true, accurate, and complete, and must notify Kraken of any material changes to this information [C3].
4. **Ongoing Verification**: Kraken reserves the right to verify or re-confirm a client's identity at any time while they hold an account. If a client does not respond to a verification request within the specified timeframe, Kraken may suspend the account [C3].
5. **Retention of Information**: Kraken will retain documentation or information provided by clients for identity verification and will continue to hold such information even after the termination of the agreement, in accordance with applicable laws [C3].
These obligations are part of Kraken's efforts to comply with legal requirements and ensure the integrity of its services.</t>
  </si>
  <si>
    <t>When will Kraken refund or not refund an unauthorized E-money payment transaction under the EEA Terms?</t>
  </si>
  <si>
    <t>Kraken will normally refund an unauthorized payment transaction on your Kraken E-Money Wallet by the end of the next business day, provided you have notified them as soon as you become aware of the issue [C2]. The refund will include the amount of the payment transaction and will restore your Kraken E-Money Wallet to the position it would have been in but for the unauthorized transaction.
However, Kraken will not refund you if they can show that:
1. You did authorize the payment transaction.
2. You have acted fraudulently.
3. You intentionally or negligently failed to keep your Security Credentials safe.
4. You intentionally or negligently failed to notify Kraken as soon as you became aware that your Security Credentials were lost or stolen, or that an unauthorized payment was taken from your account [C2].</t>
  </si>
  <si>
    <t>Kraken will normally refund your Kraken E-Money Wallet for an unauthorized payment transaction by the end of the next Business Day, provided you have notified them of the issue [C1]. However, they will not make a refund if they can show that:
1. You did authorize the payment transaction.
2. You have acted fraudulently.
3. You intentionally or negligently failed to keep your Security Credentials safe.
4. You intentionally or negligently failed to notify Kraken as soon as you became aware of the unauthorized payment or that your Security Credentials were lost or stolen [C1].</t>
  </si>
  <si>
    <t>What complaint handling process does the EEA Terms describe?</t>
  </si>
  <si>
    <t>The complaint handling process described in the EEA Terms of Service includes the following steps:
1. **Submission of Complaints**: If you have a complaint about Kraken or its services, you should submit it using the Complaint Submission Form available at the provided link. You can also contact the support team as outlined in section 15.1 for support issues [C1].
2. **Acknowledgment of Complaints**: Kraken will acknowledge receipt of your complaint without undue delay. For complaints related to E-money Core Services, they will acknowledge receipt within five business days and provide the name of the contact person [C2].
3. **Response Timeframes**: Kraken aims to provide an answer or resolution to your complaint within the timeframes required by applicable law, and at the latest within 15 business days. If this is not possible due to exceptional circumstances, they will inform you of the reasons for the delay and request further information if necessary [C1][C2].
4. **Final Reply**: Kraken will send a final reply addressing all points raised in your complaint within 35 business days of receipt [C2][C4].
5. **Escalation to Alternative Dispute Resolution**: If you are not satisfied with the final response or if the complaint remains unresolved, you have the right to escalate the complaint to an alternative dispute resolution service. For PEDSL Products, you can refer the matter to the Financial Ombudsman in Cyprus, and for E-money Core Services, you can refer it to the Financial Services and Pensions Ombudsman in Ireland [C1][C2].
This process ensures that complaints are handled systematically and provides avenues for escalation if necessary.</t>
  </si>
  <si>
    <t>The EEA Terms of Service describe the following complaint handling process:
1. **Acknowledgment of Complaints**: Upon receiving a complaint, Kraken will acknowledge receipt without undue delay. For complaints related to E-money Core Services, they will acknowledge receipt within five business days and provide the name of the contact person for the complaint, along with regular updates every 20 calendar days [C1][C2].
2. **Resolution Timeline**: Kraken aims to provide an answer or resolution to complaints within the timeframes required by applicable law, and at the latest within 15 business days for E-money Core Services. If they cannot meet this timeline due to exceptional circumstances, they will inform the complainant of the reasons for the delay and request further information if necessary [C1][C2].
3. **Final Response**: In any case, Kraken will send a final reply addressing all points raised in the complaint within 35 business days of receipt [C3].
4. **Escalation Options**: If the complaint is not resolved satisfactorily, the complainant has the right to escalate the matter to an alternative dispute resolution service, such as the Financial Ombudsman or a local Ombudsman, depending on their location [C1][C3].
5. **Submission Method**: Complaints should be submitted using the Complaint Submission Form available on Kraken's support site [C3]. 
This process ensures that complaints are handled systematically and within specified timeframes, providing transparency and avenues for escalation if necessary.</t>
  </si>
  <si>
    <t>What obligations and actions are described for security credentials and suspected security breaches in the EEA Terms?</t>
  </si>
  <si>
    <t>The EEA Terms of Service outline several obligations and actions regarding security credentials and suspected security breaches:
1. **Security Credentials**: 
   - Users are required to set up unique security credentials during the account opening process, which may include a username, password, PIN, personal email address, phone number, and other security items [C2].
   - Users must not share their security credentials with anyone, except in specific circumstances for corporate clients [C2].
   - If Kraken believes it is necessary to prevent fraud or for security reasons, they may request users to change or update their security credentials [C2].
2. **Suspected Security Breaches**:
   - If a user suspects that their account, security credentials, or other security measures have been compromised, they must notify Kraken immediately through the provided support channels [C1].
   - Users are responsible for all activity on their account that occurs using their security credentials, even if accessed by an unauthorized third party, unless they have notified Kraken of a security breach [C1].
These measures are in place to protect both the user and Kraken from unauthorized access and potential loss of funds or assets.</t>
  </si>
  <si>
    <t>The EEA Terms of Service outline several obligations and actions regarding security credentials and suspected security breaches:
1. **Security Credentials**: 
   - Users are required to set up unique security credentials during the account opening process, which may include a username, password, PIN, email address, phone number, and other security items [C2].
   - Users must keep their security credentials confidential and secure, and they should not share them with anyone, except in specific circumstances for corporate clients [C2].
   - If Kraken believes it is necessary to prevent fraud or for security reasons, they may request users to change or update their security credentials [C2].
2. **Obligations in Case of a Security Breach**:
   - If a user suspects that their account, security credentials, or other security measures have been compromised, they must notify Kraken immediately through the provided support channels [C1].
   - Users are required to provide accurate and up-to-date information throughout the duration of the security breach [C1].
   - Users must take any reasonable steps that Kraken requires to mitigate or manage the security breach [C1].
3. **Notification of Security Risks**: 
   - Kraken will notify users of any potential fraud or security risks related to their account that they are aware of [C1].
These measures are designed to protect users and their assets from unauthorized access and potential loss.</t>
  </si>
  <si>
    <t>What eligibility conditions apply to Canadian clients under the Canadian Terms?</t>
  </si>
  <si>
    <t>To use most of the services offered by Kraken as a Canadian client, you must meet the following eligibility conditions:
1. If you are an individual, you must be 18 years or older and a resident of Canada.
2. If you are an entity, you must be duly organized and validly existing under the applicable laws of Canada or a province or territory of Canada, and be acting through an authorized individual who is 18 years or older.
3. You must have a current and valid email address, mobile phone number, and street address.
4. You must have full power and authority to enter into the Terms without violating any other agreement you have made.
5. You must not have been restricted from using the services.
6. To the best of your knowledge, the funds being used to transact must not be derived from illegal activities, intended for criminal or terrorist activities, owned or controlled by a terrorist group, or tendered on behalf of an unidentified person or entity.
7. You must not be a person or entity identified on certain legal lists related to criminal activities or terrorism as specified in the Terms [C3].</t>
  </si>
  <si>
    <t>To use most of the services, Canadian clients must meet the following eligibility conditions:
1. If an individual, be 18 years or older and a resident of Canada.
2. If an entity, be duly organized and validly existing under the applicable laws of Canada or a province or territory of Canada, and be acting through an authorized individual who is 18 years or older.
3. Have a current and valid email address, mobile phone number, and street address.
4. Have full power and authority to enter into the Terms without violating any other agreement.
5. Not have been restricted from using the services.
6. To the best of their knowledge, the funds being used to transact must meet specific criteria regarding legality and not being associated with illegal activities or terrorist financing [C4].</t>
  </si>
  <si>
    <t>What do the Canadian Terms say about trades, order types, and limitations?</t>
  </si>
  <si>
    <t>The Canadian Terms of Service outline several key points regarding trades, order types, and limitations:
1. **Types of Trades**: Users can trade through their account various combinations of Digital Assets and Fiat Balances, including:
   - A certain Digital Asset for another Digital Asset,
   - A certain Digital Asset for a certain Fiat Balance,
   - A certain Fiat Balance for a certain Digital Asset,
   - A certain Fiat Balance for a certain other Fiat Balance [C1].
2. **Availability of Digital Assets**: The Digital Assets available for trades may change without notice, and there may be restrictions on trading certain Digital Assets for others or certain Fiat Balances for Digital Assets [C1].
3. **Order Submission**: To make a trade, users must submit an order through the services. The types of orders available may vary, and certain order types may not be available to all users or may be subject to additional terms [C2].
4. **Execution and Confirmation**: When an order is submitted, users authorize the execution of a transaction according to the order. However, there is no guarantee that an order will execute at a specific exchange rate, and the actual execution rate may differ from the market rate at the time of the order [C4]. Users may receive confirmation of successful trades, but the absence of confirmation does not imply that a trade did not occur [C4].
5. **Rejection of Trades**: Kraken reserves the right to reject any trade or transaction at its sole discretion, regardless of whether it has been confirmed by the user [C4].
6. **Recurring and Custom Trades**: For recurring trades, the execution may depend on market prices at the time of the trade, and there is no guarantee that the order will execute at the chosen price. Kraken may also reject or cancel recurring or custom trades for any reason [C5].
These points highlight the flexibility and risks associated with trading on the platform, emphasizing the importance of understanding the terms before engaging in trades.</t>
  </si>
  <si>
    <t>The Canadian Terms of Service outline several key points regarding trades, order types, and limitations:
1. **Types of Trades**: Users can trade various combinations of Digital Assets and Fiat Balances, including:
   - A certain Digital Asset for another Digital Asset,
   - A certain Digital Asset for a certain Fiat Balance,
   - A certain Fiat Balance for a certain Digital Asset,
   - A certain Fiat Balance for another Fiat Balance [C2].
2. **Order Types**: Certain Order Types may not be available to all users and may be subject to additional terms and conditions. Kraken reserves the right to remove or change any Order Type at its discretion at any time. Additionally, Order Types may be limited to specific Digital Assets, meaning not all Digital Assets may be available for every Order Type [C1][C2].
3. **Execution and Rates**: When a user submits an Order, they authorize Kraken to execute the transaction according to the chosen Order Type and charge any applicable fees. However, Kraken cannot guarantee that any Order will trade at a specific exchange rate, and the actual rate at which an Order is executed may differ from the market exchange rate at the time of the Order. Users are advised that rates shown on the platform are only valid for a specific period and may not be current [C1][C3].
4. **Order Execution Limitations**: If an Order Type is set to execute only at a certain price or under specific conditions (e.g., a limit order), Kraken cannot guarantee that the Order will be executed in whole or in part. Confirmation of Trades may be provided, but lack of confirmation does not imply that a Trade did not occur. Users can check their account "History" page for successfully executed transactions [C1][C3].
5. **Rejection of Trades**: Kraken may reject any Trade or transaction at its sole discretion, regardless of whether it has been confirmed by the user, and is not liable for any such rejection [C3].
These points summarize the limitations and conditions surrounding trades and order types as specified in the Canadian Terms of Service.</t>
  </si>
  <si>
    <t>What Canadian Terms should staff consider for risks, warranties, liability, suspension, and dispute resolution?</t>
  </si>
  <si>
    <t>For Canadian staff considering risks, warranties, liability, suspension, and dispute resolution, the following terms from the Kraken Terms of Service should be noted:
1. **Risks**: The Terms of Service highlight that there are inherent risks associated with using Kraken's services. Users are advised that they should not invest unless they are prepared to lose all the money they invest, as it is a high-risk investment [C3].
2. **Warranties**: The Terms do not provide any warranties regarding the services. Users should understand that their accounts and digital assets are not covered by insurance against losses or protected by deposit insurance schemes [C1].
3. **Liability**: Kraken limits its liability to the maximum extent permitted by applicable law. They are not liable for any indirect, incidental, special, consequential, or exemplary damages, including loss of profits or data. Additionally, any claims against Kraken are limited to amounts not exceeding $100 CAD [C2].
4. **Suspension**: The Terms of Service allow Kraken to make changes to their services, including the suspension or termination of services or accounts, at any time and with or without notice [C1].
5. **Dispute Resolution**: In the event of a dispute, both parties must notify each other in writing within 30 days of the dispute arising. They are encouraged to attempt informal resolution before proceeding to formal demands or legal actions. Kraken is a member of the Ombudsman for Banking Services and Investment (OBSI), which provides a dispute resolution mechanism for claims up to $350,000 CAD [C4].
These points should be carefully considered to ensure compliance and understanding of the risks and responsibilities involved in using Kraken's services.</t>
  </si>
  <si>
    <t>For Canadian staff considering risks, warranties, liability, suspension, and dispute resolution in the context of Kraken's Terms of Service, the following points should be noted:
1. **Risks**: Users are advised that investing in digital assets is high-risk, and they should be prepared to lose all the money they invest. Kraken does not provide deposit insurance or other investor protection insurance schemes [C1].
2. **Disclaimer of Warranties**: Kraken's services and platforms are provided on an "as is" and "as available" basis. They expressly disclaim all warranties, including implied warranties of merchantability and fitness for a particular purpose. There are no guarantees regarding the availability, accuracy, security, or uninterrupted operation of their services [C2].
3. **Limitations on Liability**: Kraken and its affiliates are not liable for any indirect, incidental, special, consequential, or exemplary damages. Additionally, their liability is limited to amounts not exceeding $100 Canadian dollars, to the maximum extent permitted by applicable law [C2].
4. **Suspension and Termination**: Kraken reserves the right to modify or discontinue services, suspend or terminate access to services, and reject any transactions without prior notice or liability. If an account is terminated, Kraken will contact the user to return any digital assets, unless there are outstanding fees or suspected misconduct [C3].
5. **Dispute Resolution**: Disputes are subject to exclusive jurisdiction by the provincial and federal courts located in Toronto, Ontario, and governed by the laws of Ontario. Users and Kraken agree not to initiate class actions or representative actions in any dispute [C3].
These points summarize the key considerations regarding risks, warranties, liability, suspension, and dispute resolution as outlined in the Canadian Terms of Service.</t>
  </si>
  <si>
    <t>What vendor conflict of interest risks should procurement check before approving or renewing a vendor relationship?</t>
  </si>
  <si>
    <t>I cannot find the information in the provided documents regarding specific vendor conflict of interest risks that procurement should check before approving or renewing a vendor relationship.</t>
  </si>
  <si>
    <t>Export</t>
  </si>
  <si>
    <t>Admin session 54 chunking comparison</t>
  </si>
  <si>
    <t>Source database</t>
  </si>
  <si>
    <t>C:\Users\User\Documents\Msc Dissertation\kraken-rag-assistant\backend\storage\app.db</t>
  </si>
  <si>
    <t>Chat session ID</t>
  </si>
  <si>
    <t>Log rows</t>
  </si>
  <si>
    <t>Paired questions</t>
  </si>
  <si>
    <t>Score meaning</t>
  </si>
  <si>
    <t>The score columns are stored retrieval scores from the local chat log, not human verdicts and not LLM-as-judge scores.</t>
  </si>
  <si>
    <t>Where can conflicts of interest arise according to Kraken's conflicts disclosure?</t>
  </si>
  <si>
    <t>When may PESL suspend trading or access to trading to maintain market integrity?</t>
  </si>
  <si>
    <t>What does the Commercial Policy say about publishing a firm price or pricing methodology for exchange services?</t>
  </si>
  <si>
    <t>What exchange limits or liquidity constraints should staff explain when a client wants to exchange a large amount?</t>
  </si>
  <si>
    <t xml:space="preserve">FS cites exactly the correct text, SA incorrect chunk entirely </t>
  </si>
  <si>
    <t xml:space="preserve">Both cite same and correct chunks. FS answer is more useful, SA also deviates into another chunk unneccarily </t>
  </si>
  <si>
    <t>Both cite same and correct chunks. SA has one extra point that is very useful from another chunk. FS has one minor point from another chunk</t>
  </si>
  <si>
    <t>Both cite same and correct chunks. Both summarize bullet points when they could have just restated them. SA slightly more nuanced</t>
  </si>
  <si>
    <t xml:space="preserve">PESL may suspend trading or access to trading to maintain market integrity during adverse market conditions, which may include extreme market volatility, liquidity shortages, or other situations where strict adherence to standard procedures may compromise client outcomes, market integrity, or operational stability [C1].
</t>
  </si>
  <si>
    <t>PESL may suspend trading or access to trading to maintain market integrity under the following circumstances:
- In response to system disruptions
- Disorderly market conditions
- Network issues, hosting and cloud computing issues, database errors, or software errors
- Adverse market events
- On-chain events such as chain splits or soft/hard forks
- Excessive volatility or excessive price moves when it deems that not suspending access to trading would likely cause significant damage to the interests of clients
- Competent authority prohibits trading [C1].</t>
  </si>
  <si>
    <t>The Commercial Policy states that Payward Europe Solutions Limited (PESL) publishes a firm price or the methodology for the price provided to clients when exchanging crypto-assets for funds and other crypto-assets, in accordance with Article 77 (2) of Regulation (EU) 2023/1114. PESL's methodology for determining the price involves a comprehensive approach to ensure accuracy, fairness, and alignment with current market conditions. The firm price listed on the Kraken website is subject to change at any time, and once a price is accepted by the client, it is deemed final [C1][C4].</t>
  </si>
  <si>
    <t>The Commercial Policy states that Payward Europe Solutions Limited (PESL) will publish a firm price of the crypto-assets or a method for determining the price of the crypto-assets on its website. Additionally, PESL reserves the right to withhold or withdraw published prices or suspend the exchange of specific or all crypto-assets at any time, without prior notice. This may occur in cases of significant market volatility, technical or human errors in price publication, or at Kraken's discretion [C2].</t>
  </si>
  <si>
    <t>When a client wants to exchange a large amount, staff should explain the following exchange limits and liquidity constraints:
1. **No Maximum Restrictions**: Currently, there are no maximum restrictions on the volume of crypto-assets that can be exchanged for fiat currency or other crypto-assets. However, a client's exchange request may be declined if there is inadequate market liquidity or insufficient market depth to fulfill the requested amount as determined by Kraken [C1].
2. **Factors Limiting Exchange Amounts**: The amounts that can be exchanged may be limited by:
   - The user's available balance.
   - The level of liquidity present within 5% of the mid-point on the relevant order book.
   - The minimum instant buy/sell order size, which is approximately 1 USD for an asset in the account [C1].
3. **Transaction Limits**: Transaction and trade size limits may vary depending on the payment method, verification steps completed, and other factors. Details of these limits are published on the Kraken website, and Kraken reserves the right to change applicable limits as necessary [C2].
4. **Insufficient Assets**: If the client has an insufficient amount of fiat balance or digital assets in their account to complete the trade, Kraken may choose to cancel the entire trade or fulfill a partial trade using the available amount, less any applicable fees and taxes [C5].
5. **Discretionary Refusal**: Kraken can refuse to execute any trade or order at its sole discretion, including if the client does not have sufficient digital assets or fiat balance held in their account [C5].
Staff should ensure that clients are aware of these factors when considering large exchanges.</t>
  </si>
  <si>
    <t>When a client wants to exchange a large amount, staff should explain the following exchange limits and liquidity constraints: 1. **No Maximum Restrictions**: Currently, there are no maximum restrictions on the volume of crypto-assets that can be exchanged for fiat currency or other crypto-assets. However, a client's exchange request may be declined if there is inadequate market liquidity or insufficient market depth to fulfill the requested amount as determined by Kraken [C1]. 2. **Factors Limiting Exchange Amounts**: The amounts that can be exchanged may be limited by: - The user's available balance. - The level of liquidity present within 5% of the mid-point on the relevant order book. - The minimum instant buy/sell order size, which is approximately 1 USD for an asset in the account [C1]. 3. **OTC Minimum Trade Size**: For over-the-counter (OTC) trades, there is a minimum trade size imposed, but there is no maximum trade size [C1]. 4. **Market Conditions**: Kraken reserves the right to withhold or withdraw published prices or suspend the exchange of specific or all crypto-assets at any time, particularly in cases of significant market volatility or technical errors [C1]. 5. **Potential for Cancellations**: If the trade cannot be completed due to insufficient assets or other issues, Kraken may cancel the trade or fulfill it partially using the available balance [C4]. These points should help clients understand the potential limitations and conditions that may affect their ability to exchange large amounts of crypto-assets.</t>
  </si>
  <si>
    <t>Conflicts of interest can arise in the following contexts according to Kraken's conflicts disclosure:
1. Between Payward Europe Solutions Limited (PESL) / Payward Global Solutions Limited (PGSL) and their clients, particularly when execution services are provided by an entity that also operates a trading platform.
2. When employees or related persons hold positions in crypto-assets listed or supported by PESL or PGSL, potentially misaligning interests.
3. When Kraken or its affiliates have a material interest or conflict of interest in transactions, which may include situations where Kraken may profit from a transaction on which the client does not.
4. When Kraken may transmit orders to or seek liquidity from affiliated entities, which could create conflicts.
5. When Kraken shares resources with other affiliates, such as office space, personnel, and systems, which may lead to potential conflicts of interest [C1][C2][C3].</t>
  </si>
  <si>
    <t>Conflicts of interest can arise in the following contexts according to Kraken's conflicts disclosure:
1. Between Payward Europe Solutions Limited (PESL) / Payward Global Solutions Limited (PGSL) and their clients, particularly when execution services are provided by an entity that also operates a trading platform.
2. When employees or related persons hold positions in crypto-assets that are listed or supported by PESL and PGSL.
3. In circumstances where Kraken or any of its affiliates has a material interest or conflict of interest, such as when PDSL (or any of its affiliates) may profit from a transaction on which the client does not, or when orders are transmitted to affiliated entities that may facilitate client executions [C1][C2][C4].</t>
  </si>
  <si>
    <t>FS</t>
  </si>
  <si>
    <t>SA</t>
  </si>
  <si>
    <t>Same</t>
  </si>
  <si>
    <t xml:space="preserve">0.73 SA 0.78 FS. Both retrieved the right document in C1, fixed size had a bit more detail. SA only retrieved chunks from one document, FS took chunks from multiple documents. Only C1 cited both answers. FS better. </t>
  </si>
  <si>
    <t>0.74 SA 0.71 FS. Both retrieved the right document in C1, structure aware had a bit more detail. Both retrieved various chunks from different documents. Only C1 cited both answers. SA and FS same</t>
  </si>
  <si>
    <t>0.59 SA 0.62 FS. SA incorrect and does not pass. Only cites 3 of 7 requirements. Correctly cites the right chunk which has all the information but LLM does not use it. Only C1 cited both answers. FS only working.</t>
  </si>
  <si>
    <t>FS Only</t>
  </si>
  <si>
    <t>Pass</t>
  </si>
  <si>
    <t>Which types of clients does PESL say it is prepared to service for crypto-asset exchange services?</t>
  </si>
  <si>
    <t>What conditions must a prospective client satisfy before PESL provides exchange services?</t>
  </si>
  <si>
    <t>What reasons does the Commercial Policy give for restricting account access or disabling funding?</t>
  </si>
  <si>
    <t>PESL is prepared to service all natural and legal persons, including but not limited to individual clients (both retail and professional investors) and institutional clients based in the EEA [C1].</t>
  </si>
  <si>
    <t xml:space="preserve">PESL is prepared to service all natural and legal persons, including but not limited to individual clients (both retail and professional investors) and institutional clients based in the EEA for crypto-asset exchange services. PESL may impose limits or restrictions based on the types of clients to meet its regulatory requirements, and these will be published on the group's website [C1].
</t>
  </si>
  <si>
    <t>A prospective client must satisfy the following conditions before PESL provides exchange services:
1. Successfully complete the onboarding process as employed through PESL's onboarding procedures.
2. Comply with and pass PESL's due-diligence requirements, which may vary based on the type of client or a risk profile determined by PESL.
3. Consent to PESL’s Terms of Services and applicable addendums provided during the onboarding process.
4. Comply with PESL’s Terms of Service, which includes not engaging in conduct that:
   - Violates Regulation (EU) 2023/1114 or any other applicable regulatory obligations.
   - Contravenes any provision within the PESL Terms of Service or other agreements clients consent to.
   - Poses a risk to the fairness, reputation, or integrity of PESL's services [C1].</t>
  </si>
  <si>
    <t>A prospective client must satisfy the following conditions before PESL provides exchange services:
1. Successfully complete the onboarding process as employed through PESL's onboarding procedures.
2. Comply with and pass PESL's due-diligence requirements, which may vary based on the type of client or a risk profile determined by PESL.
3. Consent to PESL’s Terms of Services and applicable addendums provided during the onboarding process.
4. Comply with PESL’s Terms of Service [C1].</t>
  </si>
  <si>
    <t>The Commercial Policy outlines several reasons for restricting account access or disabling funding abilities, including but not limited to:
1. Detection of a potential security issue.
2. Suspected malicious activity targeting the account.
3. Withdrawals to crypto wallets [C1].</t>
  </si>
  <si>
    <t>The Commercial Policy provides several reasons for restricting account access or disabling funding, including but not limited to:
- Detection of a potential security issue
- Suspected malicious activity targeting your account
- Withdrawals to crypto wallets associated with fraud or illegal activity
- A reversal of one of your recent transactions by your bank or card issuer
- Failure to maintain accurate, truthful, and up-to-date information regarding your identity and contact information
- Failure to respond to a request for additional information, as required by regulations in your jurisdiction
- Breaching the terms of service or not being eligible based on regulatory requirements [C1].</t>
  </si>
  <si>
    <t xml:space="preserve">FS incorrectly cites the primary text as C2 instead of C1. SA is more accurate and thorough. </t>
  </si>
  <si>
    <t>Confidence correct</t>
  </si>
  <si>
    <t>Yes</t>
  </si>
  <si>
    <t>Both correct, SA slightly more detail from another chunk</t>
  </si>
  <si>
    <t>Both good answers</t>
  </si>
  <si>
    <t>FS more detail slightly better</t>
  </si>
  <si>
    <t>Both reasonable answers, FS more detail</t>
  </si>
  <si>
    <t>Both good answers, SA slightly more detail</t>
  </si>
  <si>
    <t>Both gave good answers but both missing parts of each. Citations used from multiple documents is good, however a combination of both might be better</t>
  </si>
  <si>
    <t>No</t>
  </si>
  <si>
    <t>Fail</t>
  </si>
  <si>
    <t>Partial</t>
  </si>
  <si>
    <t>Structure aware incomplete, FS 100% correct</t>
  </si>
  <si>
    <t>Both good answers, FS has more citations and detail</t>
  </si>
  <si>
    <t>both good ansers</t>
  </si>
  <si>
    <t>both good answers, FS summarized more, SA cited moer verbatim</t>
  </si>
  <si>
    <t>SA Only</t>
  </si>
  <si>
    <t>yes</t>
  </si>
  <si>
    <t>SA kept to the restriction of only the custody statement. FS gave a good and insightful answer but was not faithful to the query</t>
  </si>
  <si>
    <t>Much more thourough answer with FS, SA is okay</t>
  </si>
  <si>
    <t>SA gives more direct citations for where to look and clearer answer</t>
  </si>
  <si>
    <t>Answer more clear in FS as it summarizes in more informal language and strucutre, whereas SA is repeating the content more. Both answers are fair and have different strengths</t>
  </si>
  <si>
    <t>Same/ slighly FS</t>
  </si>
  <si>
    <t>Both good, SA slightly more detail</t>
  </si>
  <si>
    <t>SA gives more thourough answer from multiple sources. FS missing critical data. More data is collected than stated in either answer</t>
  </si>
  <si>
    <t>SA more detailed, both reasonable answers, some minor details missing such as for business interest</t>
  </si>
  <si>
    <t>More thorough answer in SA, both good answers</t>
  </si>
  <si>
    <t>Slightly more detail in SA, both good</t>
  </si>
  <si>
    <t xml:space="preserve">SA accurate, FS completely inaccurate (likely a metadata issue) </t>
  </si>
  <si>
    <t>Both answers are reasonable, the question asks a for information not in the summary page (tax), other topics are covered). More detail could be given however</t>
  </si>
  <si>
    <t>Both answers are reasonable. Some details in one that isnt in the other; a merging of both would be better</t>
  </si>
  <si>
    <t xml:space="preserve">Both answers give good evidence, SA more faithful </t>
  </si>
  <si>
    <t>both answers good, SA a bit more concise</t>
  </si>
  <si>
    <t>More in depth with FS, SA reasonable</t>
  </si>
  <si>
    <t>Both reasonable answers, SA more detailed and more useful for an employee</t>
  </si>
  <si>
    <t>FS more thoroguh, SA missing minor details</t>
  </si>
  <si>
    <t>Both correctly reject question</t>
  </si>
  <si>
    <t>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</si>
</sst>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8">
    <font>
      <sz val="11"/>
      <name val="Carlito"/>
    </font>
    <font>
      <sz val="10"/>
      <color rgb="FF111827"/>
      <name val="Aptos"/>
      <family val="2"/>
    </font>
    <font>
      <b/>
      <sz val="11"/>
      <color rgb="FFFFFFFF"/>
      <name val="Aptos Display"/>
      <family val="2"/>
    </font>
    <font>
      <b/>
      <sz val="11"/>
      <color rgb="FFFFFFFF"/>
      <name val="Carlito"/>
    </font>
    <font>
      <b/>
      <sz val="11"/>
      <color rgb="FF2D0B59"/>
      <name val="Carlito"/>
    </font>
    <font>
      <sz val="11"/>
      <name val="Carlito"/>
    </font>
    <font>
      <sz val="10"/>
      <name val="Aptos"/>
      <family val="2"/>
    </font>
    <font>
      <sz val="10"/>
      <name val="Carlito"/>
    </font>
  </fonts>
  <fills count="5">
    <fill>
      <patternFill patternType="none"/>
    </fill>
    <fill>
      <patternFill patternType="gray125"/>
    </fill>
    <fill>
      <patternFill patternType="solid">
        <fgColor rgb="FF2D0B59"/>
      </patternFill>
    </fill>
    <fill>
      <patternFill patternType="solid">
        <fgColor rgb="FFFFFFFF"/>
      </patternFill>
    </fill>
    <fill>
      <patternFill patternType="solid">
        <fgColor rgb="FFF5F3FF"/>
      </patternFill>
    </fill>
  </fills>
  <borders count="4">
    <border>
      <left/>
      <right/>
      <top/>
      <bottom/>
      <diagonal/>
    </border>
    <border>
      <left style="thin">
        <color rgb="FFE5E7EB"/>
      </left>
      <right style="thin">
        <color rgb="FFE5E7EB"/>
      </right>
      <top style="thin">
        <color rgb="FFE5E7EB"/>
      </top>
      <bottom style="thin">
        <color rgb="FFE5E7E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5" fillId="0" borderId="0" applyFont="0" applyFill="0" applyBorder="0" applyAlignment="0" applyProtection="0"/>
  </cellStyleXfs>
  <cellXfs count="24">
    <xf numFmtId="0" fontId="0" fillId="0" borderId="0" xfId="0"/>
    <xf numFmtId="0" fontId="4" fillId="4" borderId="1" xfId="0" applyFont="1" applyFill="1" applyBorder="1" applyAlignment="1">
      <alignment vertical="top" wrapText="1"/>
    </xf>
    <xf numFmtId="0" fontId="3" fillId="2" borderId="1" xfId="0" applyFont="1" applyFill="1" applyBorder="1" applyAlignment="1">
      <alignment vertical="top" wrapText="1"/>
    </xf>
    <xf numFmtId="0" fontId="0" fillId="0" borderId="1" xfId="0" applyBorder="1" applyAlignment="1">
      <alignment vertical="top" wrapText="1"/>
    </xf>
    <xf numFmtId="0" fontId="7" fillId="0" borderId="2" xfId="0" applyFont="1" applyBorder="1" applyAlignment="1">
      <alignment vertical="top" wrapText="1"/>
    </xf>
    <xf numFmtId="0" fontId="6" fillId="0" borderId="2" xfId="0" applyFont="1" applyBorder="1"/>
    <xf numFmtId="0" fontId="6" fillId="0" borderId="2" xfId="0" applyFont="1" applyBorder="1" applyAlignment="1">
      <alignment vertical="top" wrapText="1"/>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0" fillId="0" borderId="2" xfId="0" applyBorder="1" applyAlignment="1">
      <alignment horizontal="center" vertical="center"/>
    </xf>
    <xf numFmtId="164" fontId="6" fillId="0" borderId="2" xfId="0" applyNumberFormat="1" applyFont="1" applyBorder="1" applyAlignment="1">
      <alignment horizontal="center" vertical="center" wrapText="1"/>
    </xf>
    <xf numFmtId="0" fontId="6" fillId="0" borderId="2" xfId="1" applyNumberFormat="1" applyFont="1" applyFill="1" applyBorder="1" applyAlignment="1">
      <alignment horizontal="center" vertical="center" wrapText="1"/>
    </xf>
    <xf numFmtId="0" fontId="0" fillId="0" borderId="2" xfId="0" applyBorder="1" applyAlignment="1">
      <alignment horizontal="center" vertical="top"/>
    </xf>
    <xf numFmtId="0" fontId="2" fillId="2" borderId="0" xfId="0" applyFont="1" applyFill="1" applyAlignment="1">
      <alignment horizontal="center" wrapText="1"/>
    </xf>
    <xf numFmtId="0" fontId="1" fillId="3" borderId="2" xfId="0" applyFont="1" applyFill="1" applyBorder="1" applyAlignment="1">
      <alignment horizontal="center" vertical="top" wrapText="1"/>
    </xf>
    <xf numFmtId="0" fontId="0" fillId="0" borderId="3" xfId="0" applyBorder="1" applyAlignment="1">
      <alignment horizontal="center" vertical="top"/>
    </xf>
    <xf numFmtId="0" fontId="6" fillId="0" borderId="3" xfId="0" applyFont="1" applyBorder="1" applyAlignment="1">
      <alignment vertical="top" wrapText="1"/>
    </xf>
    <xf numFmtId="164" fontId="6" fillId="0" borderId="3" xfId="0" applyNumberFormat="1" applyFont="1" applyBorder="1" applyAlignment="1">
      <alignment horizontal="center" vertical="center" wrapText="1"/>
    </xf>
    <xf numFmtId="0" fontId="6" fillId="0" borderId="3" xfId="0" applyFont="1" applyBorder="1" applyAlignment="1">
      <alignment horizontal="center" vertical="center" wrapText="1"/>
    </xf>
    <xf numFmtId="0" fontId="0" fillId="0" borderId="3" xfId="0" applyBorder="1" applyAlignment="1">
      <alignment horizontal="center" vertical="center"/>
    </xf>
    <xf numFmtId="0" fontId="6" fillId="0" borderId="0" xfId="0" applyFont="1" applyAlignment="1">
      <alignment vertical="top" wrapText="1"/>
    </xf>
    <xf numFmtId="164"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vertical="center"/>
    </xf>
  </cellXfs>
  <cellStyles count="2">
    <cellStyle name="Comma" xfId="1" builtinId="3"/>
    <cellStyle name="Normal" xfId="0" builtinId="0"/>
  </cellStyles>
  <dxfs count="17">
    <dxf>
      <fill>
        <patternFill>
          <bgColor theme="9"/>
        </patternFill>
      </fill>
    </dxf>
    <dxf>
      <fill>
        <patternFill>
          <bgColor rgb="FFFF0000"/>
        </patternFill>
      </fill>
    </dxf>
    <dxf>
      <fill>
        <patternFill>
          <bgColor rgb="FFFF0000"/>
        </patternFill>
      </fill>
    </dxf>
    <dxf>
      <fill>
        <patternFill>
          <bgColor rgb="FFFFC000"/>
        </patternFill>
      </fill>
    </dxf>
    <dxf>
      <fill>
        <patternFill>
          <bgColor rgb="FF00B050"/>
        </patternFill>
      </fill>
    </dxf>
    <dxf>
      <font>
        <strike val="0"/>
        <outline val="0"/>
        <shadow val="0"/>
        <u val="none"/>
        <vertAlign val="baseline"/>
        <color auto="1"/>
      </font>
      <numFmt numFmtId="0" formatCode="General"/>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none">
          <fgColor indexed="64"/>
          <bgColor auto="1"/>
        </patternFill>
      </fill>
    </dxf>
    <dxf>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unkingComparisonTable" displayName="ChunkingComparisonTable" ref="A1:J61" totalsRowShown="0" headerRowDxfId="16" dataDxfId="15">
  <autoFilter ref="A1:J61" xr:uid="{00000000-0009-0000-0100-000001000000}"/>
  <tableColumns count="10">
    <tableColumn id="10" xr3:uid="{BE08843A-0F30-4A01-A394-8553512303D3}" name="Q #" dataDxfId="14"/>
    <tableColumn id="1" xr3:uid="{00000000-0010-0000-0000-000001000000}" name="Question" dataDxfId="13"/>
    <tableColumn id="2" xr3:uid="{00000000-0010-0000-0000-000002000000}" name="Structure aware answer" dataDxfId="12"/>
    <tableColumn id="3" xr3:uid="{00000000-0010-0000-0000-000003000000}" name="Fixed Size Answer" dataDxfId="11"/>
    <tableColumn id="4" xr3:uid="{00000000-0010-0000-0000-000004000000}" name="Structure Aware Score" dataDxfId="10"/>
    <tableColumn id="5" xr3:uid="{00000000-0010-0000-0000-000005000000}" name="Fixed Size Score" dataDxfId="9"/>
    <tableColumn id="6" xr3:uid="{00000000-0010-0000-0000-000006000000}" name="Which is better" dataDxfId="8"/>
    <tableColumn id="7" xr3:uid="{00000000-0010-0000-0000-000007000000}" name="Notes" dataDxfId="7"/>
    <tableColumn id="8" xr3:uid="{00000000-0010-0000-0000-000008000000}" name="Verdict" dataDxfId="6"/>
    <tableColumn id="9" xr3:uid="{F862F34B-2268-4153-A634-C1F4193F16C0}" name="Confidence correct" dataDxfId="5">
      <calculatedColumnFormula>IF(OR(AND(E2&gt;=F2*(1-5%),G2="SA"),AND(E2&lt;=F2*(1+5%),G2="FS"),AND(ABS(E2-F2)&lt;=F2*5%,G2="Same")),"Yes","No")</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
  <sheetViews>
    <sheetView showGridLines="0" tabSelected="1" topLeftCell="A46" zoomScale="70" zoomScaleNormal="70" workbookViewId="0">
      <selection activeCell="I47" sqref="I47"/>
    </sheetView>
  </sheetViews>
  <sheetFormatPr defaultRowHeight="14"/>
  <cols>
    <col min="1" max="1" width="9.33203125" bestFit="1" customWidth="1"/>
    <col min="2" max="2" width="44.25" style="20" customWidth="1"/>
    <col min="3" max="3" width="77.08203125" style="20" customWidth="1"/>
    <col min="4" max="4" width="78.4140625" style="20" customWidth="1"/>
    <col min="5" max="5" width="18" style="21" customWidth="1"/>
    <col min="6" max="6" width="24" style="21" customWidth="1"/>
    <col min="7" max="7" width="28" style="22" bestFit="1" customWidth="1"/>
    <col min="8" max="8" width="54.25" style="20" customWidth="1"/>
    <col min="9" max="9" width="8.6640625" style="22"/>
    <col min="10" max="10" width="8.6640625" style="23"/>
  </cols>
  <sheetData>
    <row r="1" spans="1:10" ht="29">
      <c r="A1" s="13" t="s">
        <v>244</v>
      </c>
      <c r="B1" s="13" t="s">
        <v>0</v>
      </c>
      <c r="C1" s="13" t="s">
        <v>1</v>
      </c>
      <c r="D1" s="13" t="s">
        <v>2</v>
      </c>
      <c r="E1" s="13" t="s">
        <v>3</v>
      </c>
      <c r="F1" s="13" t="s">
        <v>4</v>
      </c>
      <c r="G1" s="13" t="s">
        <v>5</v>
      </c>
      <c r="H1" s="13" t="s">
        <v>6</v>
      </c>
      <c r="I1" s="13" t="s">
        <v>7</v>
      </c>
      <c r="J1" s="13" t="s">
        <v>208</v>
      </c>
    </row>
    <row r="2" spans="1:10" ht="65">
      <c r="A2" s="14">
        <v>1</v>
      </c>
      <c r="B2" s="4" t="s">
        <v>198</v>
      </c>
      <c r="C2" s="6" t="s">
        <v>201</v>
      </c>
      <c r="D2" s="6" t="s">
        <v>202</v>
      </c>
      <c r="E2" s="7">
        <v>0.73</v>
      </c>
      <c r="F2" s="7">
        <v>0.78</v>
      </c>
      <c r="G2" s="8" t="s">
        <v>190</v>
      </c>
      <c r="H2" s="6" t="s">
        <v>193</v>
      </c>
      <c r="I2" s="8" t="s">
        <v>197</v>
      </c>
      <c r="J2" s="9" t="str">
        <f>IF(OR(AND(E2&gt;=F2*(1-5%),G2="SA"),AND(E2&lt;=F2*(1+5%),G2="FS"),AND(ABS(E2-F2)&lt;=F2*5%,G2="Same")),"Yes","No")</f>
        <v>Yes</v>
      </c>
    </row>
    <row r="3" spans="1:10" ht="143">
      <c r="A3" s="14">
        <v>2</v>
      </c>
      <c r="B3" s="4" t="s">
        <v>199</v>
      </c>
      <c r="C3" s="6" t="s">
        <v>204</v>
      </c>
      <c r="D3" s="6" t="s">
        <v>203</v>
      </c>
      <c r="E3" s="7">
        <v>0.74</v>
      </c>
      <c r="F3" s="7">
        <v>0.71</v>
      </c>
      <c r="G3" s="8" t="s">
        <v>192</v>
      </c>
      <c r="H3" s="6" t="s">
        <v>194</v>
      </c>
      <c r="I3" s="8" t="s">
        <v>197</v>
      </c>
      <c r="J3" s="9" t="str">
        <f t="shared" ref="J3:J61" si="0">IF(OR(AND(E3&gt;=F3*(1-5%),G3="SA"),AND(E3&lt;=F3*(1+5%),G3="FS"),AND(ABS(E3-F3)&lt;=F3*5%,G3="Same")),"Yes","No")</f>
        <v>Yes</v>
      </c>
    </row>
    <row r="4" spans="1:10" ht="143">
      <c r="A4" s="14">
        <v>3</v>
      </c>
      <c r="B4" s="4" t="s">
        <v>200</v>
      </c>
      <c r="C4" s="6" t="s">
        <v>205</v>
      </c>
      <c r="D4" s="6" t="s">
        <v>206</v>
      </c>
      <c r="E4" s="11">
        <v>0.59</v>
      </c>
      <c r="F4" s="11">
        <v>0.62</v>
      </c>
      <c r="G4" s="8" t="s">
        <v>196</v>
      </c>
      <c r="H4" s="6" t="s">
        <v>195</v>
      </c>
      <c r="I4" s="8" t="s">
        <v>218</v>
      </c>
      <c r="J4" s="9" t="s">
        <v>209</v>
      </c>
    </row>
    <row r="5" spans="1:10" ht="143">
      <c r="A5" s="14">
        <v>4</v>
      </c>
      <c r="B5" s="6" t="s">
        <v>175</v>
      </c>
      <c r="C5" s="6" t="s">
        <v>182</v>
      </c>
      <c r="D5" s="6" t="s">
        <v>183</v>
      </c>
      <c r="E5" s="7">
        <v>0.67</v>
      </c>
      <c r="F5" s="7">
        <v>0.7</v>
      </c>
      <c r="G5" s="7" t="s">
        <v>190</v>
      </c>
      <c r="H5" s="5" t="s">
        <v>178</v>
      </c>
      <c r="I5" s="8" t="s">
        <v>197</v>
      </c>
      <c r="J5" s="9" t="str">
        <f t="shared" si="0"/>
        <v>Yes</v>
      </c>
    </row>
    <row r="6" spans="1:10" ht="78">
      <c r="A6" s="14">
        <v>5</v>
      </c>
      <c r="B6" s="6" t="s">
        <v>176</v>
      </c>
      <c r="C6" s="6" t="s">
        <v>184</v>
      </c>
      <c r="D6" s="6" t="s">
        <v>185</v>
      </c>
      <c r="E6" s="7">
        <v>0.72</v>
      </c>
      <c r="F6" s="7">
        <v>0.7</v>
      </c>
      <c r="G6" s="7" t="s">
        <v>190</v>
      </c>
      <c r="H6" s="5" t="s">
        <v>179</v>
      </c>
      <c r="I6" s="8" t="s">
        <v>197</v>
      </c>
      <c r="J6" s="9" t="str">
        <f t="shared" si="0"/>
        <v>Yes</v>
      </c>
    </row>
    <row r="7" spans="1:10" ht="338">
      <c r="A7" s="14">
        <v>6</v>
      </c>
      <c r="B7" s="6" t="s">
        <v>177</v>
      </c>
      <c r="C7" s="6" t="s">
        <v>186</v>
      </c>
      <c r="D7" s="6" t="s">
        <v>187</v>
      </c>
      <c r="E7" s="7">
        <v>0.5</v>
      </c>
      <c r="F7" s="7">
        <v>0.56999999999999995</v>
      </c>
      <c r="G7" s="7" t="s">
        <v>191</v>
      </c>
      <c r="H7" s="5" t="s">
        <v>180</v>
      </c>
      <c r="I7" s="8" t="s">
        <v>197</v>
      </c>
      <c r="J7" s="9" t="str">
        <f>IF(OR(AND(E7&gt;=F7*(1-5%),G7="SA"),AND(E7&lt;=F7*(1+5%),G7="FS"),AND(ABS(E7-F7)&lt;=F7*5%,G7="Same")),"Yes","No")</f>
        <v>No</v>
      </c>
    </row>
    <row r="8" spans="1:10" ht="169">
      <c r="A8" s="14">
        <v>7</v>
      </c>
      <c r="B8" s="6" t="s">
        <v>174</v>
      </c>
      <c r="C8" s="6" t="s">
        <v>188</v>
      </c>
      <c r="D8" s="6" t="s">
        <v>189</v>
      </c>
      <c r="E8" s="7">
        <v>0.82</v>
      </c>
      <c r="F8" s="7">
        <v>0.82</v>
      </c>
      <c r="G8" s="7" t="s">
        <v>192</v>
      </c>
      <c r="H8" s="5" t="s">
        <v>181</v>
      </c>
      <c r="I8" s="8" t="s">
        <v>197</v>
      </c>
      <c r="J8" s="9" t="str">
        <f t="shared" si="0"/>
        <v>Yes</v>
      </c>
    </row>
    <row r="9" spans="1:10" ht="409.5">
      <c r="A9" s="14">
        <v>8</v>
      </c>
      <c r="B9" s="6" t="s">
        <v>8</v>
      </c>
      <c r="C9" s="6" t="s">
        <v>9</v>
      </c>
      <c r="D9" s="6" t="s">
        <v>10</v>
      </c>
      <c r="E9" s="10">
        <v>0.71509999999999996</v>
      </c>
      <c r="F9" s="10">
        <v>0.66149999999999998</v>
      </c>
      <c r="G9" s="8" t="s">
        <v>191</v>
      </c>
      <c r="H9" s="6" t="s">
        <v>207</v>
      </c>
      <c r="I9" s="8" t="s">
        <v>197</v>
      </c>
      <c r="J9" s="9" t="str">
        <f t="shared" si="0"/>
        <v>Yes</v>
      </c>
    </row>
    <row r="10" spans="1:10" ht="78">
      <c r="A10" s="14">
        <v>9</v>
      </c>
      <c r="B10" s="6" t="s">
        <v>11</v>
      </c>
      <c r="C10" s="6" t="s">
        <v>12</v>
      </c>
      <c r="D10" s="6" t="s">
        <v>13</v>
      </c>
      <c r="E10" s="10">
        <v>0.71519999999999995</v>
      </c>
      <c r="F10" s="10">
        <v>0.66439999999999999</v>
      </c>
      <c r="G10" s="8" t="s">
        <v>191</v>
      </c>
      <c r="H10" s="6" t="s">
        <v>210</v>
      </c>
      <c r="I10" s="8" t="s">
        <v>197</v>
      </c>
      <c r="J10" s="9" t="str">
        <f t="shared" si="0"/>
        <v>Yes</v>
      </c>
    </row>
    <row r="11" spans="1:10" ht="78">
      <c r="A11" s="14">
        <v>10</v>
      </c>
      <c r="B11" s="6" t="s">
        <v>14</v>
      </c>
      <c r="C11" s="6" t="s">
        <v>15</v>
      </c>
      <c r="D11" s="6" t="s">
        <v>16</v>
      </c>
      <c r="E11" s="10">
        <v>0.72499999999999998</v>
      </c>
      <c r="F11" s="10">
        <v>0.60850000000000004</v>
      </c>
      <c r="G11" s="8" t="s">
        <v>192</v>
      </c>
      <c r="H11" s="6" t="s">
        <v>211</v>
      </c>
      <c r="I11" s="8" t="s">
        <v>197</v>
      </c>
      <c r="J11" s="9" t="str">
        <f t="shared" si="0"/>
        <v>No</v>
      </c>
    </row>
    <row r="12" spans="1:10" ht="78">
      <c r="A12" s="14">
        <v>11</v>
      </c>
      <c r="B12" s="6" t="s">
        <v>17</v>
      </c>
      <c r="C12" s="6" t="s">
        <v>18</v>
      </c>
      <c r="D12" s="6" t="s">
        <v>19</v>
      </c>
      <c r="E12" s="10">
        <v>0.69640000000000002</v>
      </c>
      <c r="F12" s="10">
        <v>0.67559999999999998</v>
      </c>
      <c r="G12" s="8" t="s">
        <v>192</v>
      </c>
      <c r="H12" s="6" t="s">
        <v>211</v>
      </c>
      <c r="I12" s="8" t="s">
        <v>197</v>
      </c>
      <c r="J12" s="9" t="str">
        <f t="shared" si="0"/>
        <v>Yes</v>
      </c>
    </row>
    <row r="13" spans="1:10" ht="78">
      <c r="A13" s="14">
        <v>12</v>
      </c>
      <c r="B13" s="6" t="s">
        <v>20</v>
      </c>
      <c r="C13" s="6" t="s">
        <v>21</v>
      </c>
      <c r="D13" s="6" t="s">
        <v>22</v>
      </c>
      <c r="E13" s="10">
        <v>0.69979999999999998</v>
      </c>
      <c r="F13" s="10">
        <v>0.69020000000000004</v>
      </c>
      <c r="G13" s="8" t="s">
        <v>190</v>
      </c>
      <c r="H13" s="6" t="s">
        <v>212</v>
      </c>
      <c r="I13" s="8" t="s">
        <v>197</v>
      </c>
      <c r="J13" s="9" t="str">
        <f t="shared" si="0"/>
        <v>Yes</v>
      </c>
    </row>
    <row r="14" spans="1:10" ht="78">
      <c r="A14" s="14">
        <v>13</v>
      </c>
      <c r="B14" s="6" t="s">
        <v>23</v>
      </c>
      <c r="C14" s="6" t="s">
        <v>24</v>
      </c>
      <c r="D14" s="6" t="s">
        <v>25</v>
      </c>
      <c r="E14" s="10">
        <v>1</v>
      </c>
      <c r="F14" s="10">
        <v>0.96609999999999996</v>
      </c>
      <c r="G14" s="8" t="s">
        <v>192</v>
      </c>
      <c r="H14" s="6" t="s">
        <v>211</v>
      </c>
      <c r="I14" s="8" t="s">
        <v>197</v>
      </c>
      <c r="J14" s="9" t="str">
        <f t="shared" si="0"/>
        <v>Yes</v>
      </c>
    </row>
    <row r="15" spans="1:10" ht="299">
      <c r="A15" s="14">
        <v>14</v>
      </c>
      <c r="B15" s="6" t="s">
        <v>26</v>
      </c>
      <c r="C15" s="6" t="s">
        <v>27</v>
      </c>
      <c r="D15" s="6" t="s">
        <v>28</v>
      </c>
      <c r="E15" s="10">
        <v>0.74839999999999995</v>
      </c>
      <c r="F15" s="10">
        <v>0.73350000000000004</v>
      </c>
      <c r="G15" s="8" t="s">
        <v>190</v>
      </c>
      <c r="H15" s="6" t="s">
        <v>213</v>
      </c>
      <c r="I15" s="8" t="s">
        <v>197</v>
      </c>
      <c r="J15" s="9" t="str">
        <f t="shared" si="0"/>
        <v>Yes</v>
      </c>
    </row>
    <row r="16" spans="1:10" ht="156">
      <c r="A16" s="14">
        <v>15</v>
      </c>
      <c r="B16" s="6" t="s">
        <v>29</v>
      </c>
      <c r="C16" s="6" t="s">
        <v>30</v>
      </c>
      <c r="D16" s="6" t="s">
        <v>31</v>
      </c>
      <c r="E16" s="10">
        <v>1</v>
      </c>
      <c r="F16" s="10">
        <v>0.91300000000000003</v>
      </c>
      <c r="G16" s="8" t="s">
        <v>192</v>
      </c>
      <c r="H16" s="6" t="s">
        <v>211</v>
      </c>
      <c r="I16" s="8" t="s">
        <v>197</v>
      </c>
      <c r="J16" s="9" t="str">
        <f t="shared" si="0"/>
        <v>No</v>
      </c>
    </row>
    <row r="17" spans="1:10" ht="156">
      <c r="A17" s="14">
        <v>16</v>
      </c>
      <c r="B17" s="6" t="s">
        <v>32</v>
      </c>
      <c r="C17" s="6" t="s">
        <v>33</v>
      </c>
      <c r="D17" s="6" t="s">
        <v>34</v>
      </c>
      <c r="E17" s="10">
        <v>0.62739999999999996</v>
      </c>
      <c r="F17" s="10">
        <v>0.61860000000000004</v>
      </c>
      <c r="G17" s="8" t="s">
        <v>191</v>
      </c>
      <c r="H17" s="6" t="s">
        <v>214</v>
      </c>
      <c r="I17" s="8" t="s">
        <v>197</v>
      </c>
      <c r="J17" s="9" t="str">
        <f t="shared" si="0"/>
        <v>Yes</v>
      </c>
    </row>
    <row r="18" spans="1:10" ht="312">
      <c r="A18" s="14">
        <v>17</v>
      </c>
      <c r="B18" s="6" t="s">
        <v>35</v>
      </c>
      <c r="C18" s="6" t="s">
        <v>36</v>
      </c>
      <c r="D18" s="6" t="s">
        <v>37</v>
      </c>
      <c r="E18" s="10">
        <v>0.67820000000000003</v>
      </c>
      <c r="F18" s="10">
        <v>0.68469999999999998</v>
      </c>
      <c r="G18" s="8" t="s">
        <v>192</v>
      </c>
      <c r="H18" s="6" t="s">
        <v>215</v>
      </c>
      <c r="I18" s="8" t="s">
        <v>197</v>
      </c>
      <c r="J18" s="9" t="str">
        <f t="shared" si="0"/>
        <v>Yes</v>
      </c>
    </row>
    <row r="19" spans="1:10" ht="65">
      <c r="A19" s="14">
        <v>18</v>
      </c>
      <c r="B19" s="6" t="s">
        <v>38</v>
      </c>
      <c r="C19" s="6" t="s">
        <v>39</v>
      </c>
      <c r="D19" s="6" t="s">
        <v>40</v>
      </c>
      <c r="E19" s="10">
        <v>0.75280000000000002</v>
      </c>
      <c r="F19" s="10">
        <v>0.7399</v>
      </c>
      <c r="G19" s="8" t="s">
        <v>192</v>
      </c>
      <c r="H19" s="6" t="s">
        <v>211</v>
      </c>
      <c r="I19" s="8" t="s">
        <v>197</v>
      </c>
      <c r="J19" s="9" t="str">
        <f t="shared" si="0"/>
        <v>Yes</v>
      </c>
    </row>
    <row r="20" spans="1:10" ht="208">
      <c r="A20" s="14">
        <v>19</v>
      </c>
      <c r="B20" s="6" t="s">
        <v>41</v>
      </c>
      <c r="C20" s="6" t="s">
        <v>42</v>
      </c>
      <c r="D20" s="6" t="s">
        <v>43</v>
      </c>
      <c r="E20" s="10">
        <v>1</v>
      </c>
      <c r="F20" s="10">
        <v>0.91690000000000005</v>
      </c>
      <c r="G20" s="8" t="s">
        <v>196</v>
      </c>
      <c r="H20" s="6" t="s">
        <v>219</v>
      </c>
      <c r="I20" s="8" t="s">
        <v>218</v>
      </c>
      <c r="J20" s="9" t="s">
        <v>216</v>
      </c>
    </row>
    <row r="21" spans="1:10" ht="169">
      <c r="A21" s="14">
        <v>20</v>
      </c>
      <c r="B21" s="6" t="s">
        <v>44</v>
      </c>
      <c r="C21" s="6" t="s">
        <v>45</v>
      </c>
      <c r="D21" s="6" t="s">
        <v>46</v>
      </c>
      <c r="E21" s="10">
        <v>0.92369999999999997</v>
      </c>
      <c r="F21" s="10">
        <v>0.79959999999999998</v>
      </c>
      <c r="G21" s="8" t="s">
        <v>190</v>
      </c>
      <c r="H21" s="6" t="s">
        <v>220</v>
      </c>
      <c r="I21" s="8" t="s">
        <v>197</v>
      </c>
      <c r="J21" s="9" t="str">
        <f t="shared" si="0"/>
        <v>No</v>
      </c>
    </row>
    <row r="22" spans="1:10" ht="143">
      <c r="A22" s="14">
        <v>21</v>
      </c>
      <c r="B22" s="6" t="s">
        <v>47</v>
      </c>
      <c r="C22" s="6" t="s">
        <v>48</v>
      </c>
      <c r="D22" s="6" t="s">
        <v>49</v>
      </c>
      <c r="E22" s="10">
        <v>0.93300000000000005</v>
      </c>
      <c r="F22" s="10">
        <v>0.91590000000000005</v>
      </c>
      <c r="G22" s="8" t="s">
        <v>192</v>
      </c>
      <c r="H22" s="6" t="s">
        <v>221</v>
      </c>
      <c r="I22" s="8" t="s">
        <v>197</v>
      </c>
      <c r="J22" s="9" t="str">
        <f t="shared" si="0"/>
        <v>Yes</v>
      </c>
    </row>
    <row r="23" spans="1:10" ht="221">
      <c r="A23" s="14">
        <v>22</v>
      </c>
      <c r="B23" s="6" t="s">
        <v>50</v>
      </c>
      <c r="C23" s="6" t="s">
        <v>51</v>
      </c>
      <c r="D23" s="6" t="s">
        <v>52</v>
      </c>
      <c r="E23" s="10">
        <v>0.89059999999999995</v>
      </c>
      <c r="F23" s="10">
        <v>0.73329999999999995</v>
      </c>
      <c r="G23" s="8" t="s">
        <v>192</v>
      </c>
      <c r="H23" s="6" t="s">
        <v>222</v>
      </c>
      <c r="I23" s="8" t="s">
        <v>197</v>
      </c>
      <c r="J23" s="9" t="str">
        <f t="shared" si="0"/>
        <v>No</v>
      </c>
    </row>
    <row r="24" spans="1:10" ht="325">
      <c r="A24" s="14">
        <v>23</v>
      </c>
      <c r="B24" s="6" t="s">
        <v>53</v>
      </c>
      <c r="C24" s="6" t="s">
        <v>54</v>
      </c>
      <c r="D24" s="6" t="s">
        <v>55</v>
      </c>
      <c r="E24" s="10">
        <v>0.70509999999999995</v>
      </c>
      <c r="F24" s="10">
        <v>0.56779999999999997</v>
      </c>
      <c r="G24" s="8" t="s">
        <v>223</v>
      </c>
      <c r="H24" s="6" t="s">
        <v>225</v>
      </c>
      <c r="I24" s="8" t="s">
        <v>218</v>
      </c>
      <c r="J24" s="9" t="s">
        <v>224</v>
      </c>
    </row>
    <row r="25" spans="1:10" ht="91">
      <c r="A25" s="14">
        <v>24</v>
      </c>
      <c r="B25" s="6" t="s">
        <v>56</v>
      </c>
      <c r="C25" s="6" t="s">
        <v>57</v>
      </c>
      <c r="D25" s="6" t="s">
        <v>58</v>
      </c>
      <c r="E25" s="10">
        <v>0.86639999999999995</v>
      </c>
      <c r="F25" s="10">
        <v>0.6845</v>
      </c>
      <c r="G25" s="8" t="s">
        <v>192</v>
      </c>
      <c r="H25" s="6" t="s">
        <v>211</v>
      </c>
      <c r="I25" s="8" t="s">
        <v>197</v>
      </c>
      <c r="J25" s="9" t="str">
        <f t="shared" si="0"/>
        <v>No</v>
      </c>
    </row>
    <row r="26" spans="1:10" ht="299">
      <c r="A26" s="14">
        <v>25</v>
      </c>
      <c r="B26" s="6" t="s">
        <v>59</v>
      </c>
      <c r="C26" s="6" t="s">
        <v>60</v>
      </c>
      <c r="D26" s="6" t="s">
        <v>61</v>
      </c>
      <c r="E26" s="10">
        <v>0.70079999999999998</v>
      </c>
      <c r="F26" s="10">
        <v>0.66910000000000003</v>
      </c>
      <c r="G26" s="8" t="s">
        <v>190</v>
      </c>
      <c r="H26" s="6" t="s">
        <v>226</v>
      </c>
      <c r="I26" s="8" t="s">
        <v>197</v>
      </c>
      <c r="J26" s="9" t="str">
        <f t="shared" si="0"/>
        <v>Yes</v>
      </c>
    </row>
    <row r="27" spans="1:10" ht="169">
      <c r="A27" s="14">
        <v>26</v>
      </c>
      <c r="B27" s="6" t="s">
        <v>62</v>
      </c>
      <c r="C27" s="6" t="s">
        <v>63</v>
      </c>
      <c r="D27" s="6" t="s">
        <v>64</v>
      </c>
      <c r="E27" s="10">
        <v>0.74690000000000001</v>
      </c>
      <c r="F27" s="10">
        <v>0.66520000000000001</v>
      </c>
      <c r="G27" s="8" t="s">
        <v>192</v>
      </c>
      <c r="H27" s="6" t="s">
        <v>211</v>
      </c>
      <c r="I27" s="8" t="s">
        <v>197</v>
      </c>
      <c r="J27" s="9" t="str">
        <f t="shared" si="0"/>
        <v>No</v>
      </c>
    </row>
    <row r="28" spans="1:10" ht="221">
      <c r="A28" s="14">
        <v>27</v>
      </c>
      <c r="B28" s="6" t="s">
        <v>65</v>
      </c>
      <c r="C28" s="6" t="s">
        <v>66</v>
      </c>
      <c r="D28" s="6" t="s">
        <v>67</v>
      </c>
      <c r="E28" s="10">
        <v>0.81799999999999995</v>
      </c>
      <c r="F28" s="10">
        <v>0.75409999999999999</v>
      </c>
      <c r="G28" s="8" t="s">
        <v>192</v>
      </c>
      <c r="H28" s="6" t="s">
        <v>211</v>
      </c>
      <c r="I28" s="8" t="s">
        <v>197</v>
      </c>
      <c r="J28" s="9" t="str">
        <f t="shared" si="0"/>
        <v>No</v>
      </c>
    </row>
    <row r="29" spans="1:10" ht="104">
      <c r="A29" s="14">
        <v>28</v>
      </c>
      <c r="B29" s="6" t="s">
        <v>68</v>
      </c>
      <c r="C29" s="6" t="s">
        <v>69</v>
      </c>
      <c r="D29" s="6" t="s">
        <v>70</v>
      </c>
      <c r="E29" s="10">
        <v>0.75849999999999995</v>
      </c>
      <c r="F29" s="10">
        <v>0.69869999999999999</v>
      </c>
      <c r="G29" s="8" t="s">
        <v>192</v>
      </c>
      <c r="H29" s="6" t="s">
        <v>211</v>
      </c>
      <c r="I29" s="8" t="s">
        <v>197</v>
      </c>
      <c r="J29" s="9" t="str">
        <f t="shared" si="0"/>
        <v>No</v>
      </c>
    </row>
    <row r="30" spans="1:10" ht="234">
      <c r="A30" s="14">
        <v>29</v>
      </c>
      <c r="B30" s="6" t="s">
        <v>71</v>
      </c>
      <c r="C30" s="6" t="s">
        <v>72</v>
      </c>
      <c r="D30" s="6" t="s">
        <v>73</v>
      </c>
      <c r="E30" s="10">
        <v>0.86319999999999997</v>
      </c>
      <c r="F30" s="10">
        <v>0.66479999999999995</v>
      </c>
      <c r="G30" s="8" t="s">
        <v>192</v>
      </c>
      <c r="H30" s="6" t="s">
        <v>211</v>
      </c>
      <c r="I30" s="8" t="s">
        <v>197</v>
      </c>
      <c r="J30" s="9" t="str">
        <f t="shared" si="0"/>
        <v>No</v>
      </c>
    </row>
    <row r="31" spans="1:10" ht="52">
      <c r="A31" s="14">
        <v>30</v>
      </c>
      <c r="B31" s="6" t="s">
        <v>74</v>
      </c>
      <c r="C31" s="6" t="s">
        <v>75</v>
      </c>
      <c r="D31" s="6" t="s">
        <v>76</v>
      </c>
      <c r="E31" s="10">
        <v>0.65349999999999997</v>
      </c>
      <c r="F31" s="10">
        <v>0.51919999999999999</v>
      </c>
      <c r="G31" s="8" t="s">
        <v>191</v>
      </c>
      <c r="H31" s="6" t="s">
        <v>227</v>
      </c>
      <c r="I31" s="8" t="s">
        <v>197</v>
      </c>
      <c r="J31" s="9" t="str">
        <f t="shared" si="0"/>
        <v>Yes</v>
      </c>
    </row>
    <row r="32" spans="1:10" ht="26">
      <c r="A32" s="14">
        <v>31</v>
      </c>
      <c r="B32" s="6" t="s">
        <v>77</v>
      </c>
      <c r="C32" s="6" t="s">
        <v>78</v>
      </c>
      <c r="D32" s="6" t="s">
        <v>78</v>
      </c>
      <c r="E32" s="10">
        <v>0.85050000000000003</v>
      </c>
      <c r="F32" s="10">
        <v>0.76419999999999999</v>
      </c>
      <c r="G32" s="8" t="s">
        <v>192</v>
      </c>
      <c r="H32" s="6" t="s">
        <v>211</v>
      </c>
      <c r="I32" s="8" t="s">
        <v>197</v>
      </c>
      <c r="J32" s="9" t="str">
        <f t="shared" si="0"/>
        <v>No</v>
      </c>
    </row>
    <row r="33" spans="1:10" ht="156">
      <c r="A33" s="14">
        <v>32</v>
      </c>
      <c r="B33" s="6" t="s">
        <v>79</v>
      </c>
      <c r="C33" s="6" t="s">
        <v>80</v>
      </c>
      <c r="D33" s="6" t="s">
        <v>81</v>
      </c>
      <c r="E33" s="10">
        <v>0.7984</v>
      </c>
      <c r="F33" s="10">
        <v>0.75060000000000004</v>
      </c>
      <c r="G33" s="8" t="s">
        <v>192</v>
      </c>
      <c r="H33" s="6" t="s">
        <v>211</v>
      </c>
      <c r="I33" s="8" t="s">
        <v>197</v>
      </c>
      <c r="J33" s="9" t="str">
        <f t="shared" si="0"/>
        <v>No</v>
      </c>
    </row>
    <row r="34" spans="1:10" ht="65">
      <c r="A34" s="14">
        <v>33</v>
      </c>
      <c r="B34" s="6" t="s">
        <v>82</v>
      </c>
      <c r="C34" s="6" t="s">
        <v>83</v>
      </c>
      <c r="D34" s="6" t="s">
        <v>84</v>
      </c>
      <c r="E34" s="10">
        <v>0.72189999999999999</v>
      </c>
      <c r="F34" s="10">
        <v>0.46160000000000001</v>
      </c>
      <c r="G34" s="8" t="s">
        <v>192</v>
      </c>
      <c r="H34" s="6" t="s">
        <v>211</v>
      </c>
      <c r="I34" s="8" t="s">
        <v>197</v>
      </c>
      <c r="J34" s="9" t="str">
        <f t="shared" si="0"/>
        <v>No</v>
      </c>
    </row>
    <row r="35" spans="1:10" ht="260">
      <c r="A35" s="14">
        <v>34</v>
      </c>
      <c r="B35" s="6" t="s">
        <v>85</v>
      </c>
      <c r="C35" s="6" t="s">
        <v>86</v>
      </c>
      <c r="D35" s="6" t="s">
        <v>87</v>
      </c>
      <c r="E35" s="10">
        <v>0.80700000000000005</v>
      </c>
      <c r="F35" s="10">
        <v>0.73570000000000002</v>
      </c>
      <c r="G35" s="8" t="s">
        <v>229</v>
      </c>
      <c r="H35" s="6" t="s">
        <v>228</v>
      </c>
      <c r="I35" s="8" t="s">
        <v>197</v>
      </c>
      <c r="J35" s="9" t="str">
        <f t="shared" si="0"/>
        <v>No</v>
      </c>
    </row>
    <row r="36" spans="1:10" ht="78">
      <c r="A36" s="14">
        <v>35</v>
      </c>
      <c r="B36" s="6" t="s">
        <v>88</v>
      </c>
      <c r="C36" s="6" t="s">
        <v>89</v>
      </c>
      <c r="D36" s="6" t="s">
        <v>90</v>
      </c>
      <c r="E36" s="10">
        <v>0.85760000000000003</v>
      </c>
      <c r="F36" s="10">
        <v>0.7853</v>
      </c>
      <c r="G36" s="8" t="s">
        <v>192</v>
      </c>
      <c r="H36" s="6" t="s">
        <v>211</v>
      </c>
      <c r="I36" s="8" t="s">
        <v>197</v>
      </c>
      <c r="J36" s="9" t="str">
        <f t="shared" si="0"/>
        <v>No</v>
      </c>
    </row>
    <row r="37" spans="1:10" ht="78">
      <c r="A37" s="14">
        <v>36</v>
      </c>
      <c r="B37" s="6" t="s">
        <v>91</v>
      </c>
      <c r="C37" s="6" t="s">
        <v>92</v>
      </c>
      <c r="D37" s="6" t="s">
        <v>93</v>
      </c>
      <c r="E37" s="10">
        <v>0.69069999999999998</v>
      </c>
      <c r="F37" s="10">
        <v>0.68140000000000001</v>
      </c>
      <c r="G37" s="8" t="s">
        <v>191</v>
      </c>
      <c r="H37" s="6" t="s">
        <v>230</v>
      </c>
      <c r="I37" s="8" t="s">
        <v>197</v>
      </c>
      <c r="J37" s="9" t="str">
        <f t="shared" si="0"/>
        <v>Yes</v>
      </c>
    </row>
    <row r="38" spans="1:10" ht="182">
      <c r="A38" s="14">
        <v>37</v>
      </c>
      <c r="B38" s="6" t="s">
        <v>94</v>
      </c>
      <c r="C38" s="6" t="s">
        <v>95</v>
      </c>
      <c r="D38" s="6" t="s">
        <v>96</v>
      </c>
      <c r="E38" s="10">
        <v>0.78959999999999997</v>
      </c>
      <c r="F38" s="10">
        <v>0.74580000000000002</v>
      </c>
      <c r="G38" s="8" t="s">
        <v>191</v>
      </c>
      <c r="H38" s="6" t="s">
        <v>231</v>
      </c>
      <c r="I38" s="8" t="s">
        <v>217</v>
      </c>
      <c r="J38" s="9" t="str">
        <f t="shared" si="0"/>
        <v>Yes</v>
      </c>
    </row>
    <row r="39" spans="1:10" ht="208">
      <c r="A39" s="14">
        <v>38</v>
      </c>
      <c r="B39" s="6" t="s">
        <v>97</v>
      </c>
      <c r="C39" s="6" t="s">
        <v>98</v>
      </c>
      <c r="D39" s="6" t="s">
        <v>99</v>
      </c>
      <c r="E39" s="10">
        <v>0.83320000000000005</v>
      </c>
      <c r="F39" s="10">
        <v>0.78910000000000002</v>
      </c>
      <c r="G39" s="8" t="s">
        <v>191</v>
      </c>
      <c r="H39" s="6" t="s">
        <v>232</v>
      </c>
      <c r="I39" s="8" t="s">
        <v>197</v>
      </c>
      <c r="J39" s="9" t="str">
        <f t="shared" si="0"/>
        <v>Yes</v>
      </c>
    </row>
    <row r="40" spans="1:10" ht="390">
      <c r="A40" s="14">
        <v>39</v>
      </c>
      <c r="B40" s="6" t="s">
        <v>100</v>
      </c>
      <c r="C40" s="6" t="s">
        <v>101</v>
      </c>
      <c r="D40" s="6" t="s">
        <v>102</v>
      </c>
      <c r="E40" s="10">
        <v>0.76770000000000005</v>
      </c>
      <c r="F40" s="10">
        <v>0.70860000000000001</v>
      </c>
      <c r="G40" s="8" t="s">
        <v>191</v>
      </c>
      <c r="H40" s="6" t="s">
        <v>233</v>
      </c>
      <c r="I40" s="8" t="s">
        <v>197</v>
      </c>
      <c r="J40" s="9" t="str">
        <f t="shared" si="0"/>
        <v>Yes</v>
      </c>
    </row>
    <row r="41" spans="1:10" ht="52">
      <c r="A41" s="14">
        <v>40</v>
      </c>
      <c r="B41" s="6" t="s">
        <v>103</v>
      </c>
      <c r="C41" s="6" t="s">
        <v>104</v>
      </c>
      <c r="D41" s="6" t="s">
        <v>105</v>
      </c>
      <c r="E41" s="10">
        <v>1</v>
      </c>
      <c r="F41" s="10">
        <v>0.96409999999999996</v>
      </c>
      <c r="G41" s="8" t="s">
        <v>192</v>
      </c>
      <c r="H41" s="6" t="s">
        <v>211</v>
      </c>
      <c r="I41" s="8" t="s">
        <v>197</v>
      </c>
      <c r="J41" s="9" t="str">
        <f t="shared" si="0"/>
        <v>Yes</v>
      </c>
    </row>
    <row r="42" spans="1:10" ht="130">
      <c r="A42" s="14">
        <v>41</v>
      </c>
      <c r="B42" s="6" t="s">
        <v>106</v>
      </c>
      <c r="C42" s="6" t="s">
        <v>107</v>
      </c>
      <c r="D42" s="6" t="s">
        <v>108</v>
      </c>
      <c r="E42" s="10">
        <v>0.97599999999999998</v>
      </c>
      <c r="F42" s="10">
        <v>0.94950000000000001</v>
      </c>
      <c r="G42" s="8" t="s">
        <v>192</v>
      </c>
      <c r="H42" s="6" t="s">
        <v>211</v>
      </c>
      <c r="I42" s="8" t="s">
        <v>197</v>
      </c>
      <c r="J42" s="9" t="str">
        <f t="shared" si="0"/>
        <v>Yes</v>
      </c>
    </row>
    <row r="43" spans="1:10" ht="390">
      <c r="A43" s="14">
        <v>42</v>
      </c>
      <c r="B43" s="6" t="s">
        <v>109</v>
      </c>
      <c r="C43" s="6" t="s">
        <v>110</v>
      </c>
      <c r="D43" s="6" t="s">
        <v>111</v>
      </c>
      <c r="E43" s="10">
        <v>0.8105</v>
      </c>
      <c r="F43" s="10">
        <v>0.81079999999999997</v>
      </c>
      <c r="G43" s="8" t="s">
        <v>192</v>
      </c>
      <c r="H43" s="6" t="s">
        <v>211</v>
      </c>
      <c r="I43" s="8" t="s">
        <v>197</v>
      </c>
      <c r="J43" s="9" t="str">
        <f t="shared" si="0"/>
        <v>Yes</v>
      </c>
    </row>
    <row r="44" spans="1:10" ht="143">
      <c r="A44" s="14">
        <v>43</v>
      </c>
      <c r="B44" s="6" t="s">
        <v>112</v>
      </c>
      <c r="C44" s="6" t="s">
        <v>113</v>
      </c>
      <c r="D44" s="6" t="s">
        <v>114</v>
      </c>
      <c r="E44" s="10">
        <v>0.83140000000000003</v>
      </c>
      <c r="F44" s="10">
        <v>0.7137</v>
      </c>
      <c r="G44" s="8" t="s">
        <v>191</v>
      </c>
      <c r="H44" s="6" t="s">
        <v>234</v>
      </c>
      <c r="I44" s="8" t="s">
        <v>197</v>
      </c>
      <c r="J44" s="9" t="str">
        <f t="shared" si="0"/>
        <v>Yes</v>
      </c>
    </row>
    <row r="45" spans="1:10" ht="286">
      <c r="A45" s="14">
        <v>44</v>
      </c>
      <c r="B45" s="6" t="s">
        <v>115</v>
      </c>
      <c r="C45" s="6" t="s">
        <v>116</v>
      </c>
      <c r="D45" s="6" t="s">
        <v>117</v>
      </c>
      <c r="E45" s="10">
        <v>0.87839999999999996</v>
      </c>
      <c r="F45" s="10">
        <v>0.77929999999999999</v>
      </c>
      <c r="G45" s="8" t="s">
        <v>191</v>
      </c>
      <c r="H45" s="6" t="s">
        <v>214</v>
      </c>
      <c r="I45" s="8" t="s">
        <v>197</v>
      </c>
      <c r="J45" s="9" t="str">
        <f t="shared" si="0"/>
        <v>Yes</v>
      </c>
    </row>
    <row r="46" spans="1:10" ht="91">
      <c r="A46" s="14">
        <v>45</v>
      </c>
      <c r="B46" s="6" t="s">
        <v>118</v>
      </c>
      <c r="C46" s="6" t="s">
        <v>119</v>
      </c>
      <c r="D46" s="6" t="s">
        <v>120</v>
      </c>
      <c r="E46" s="10">
        <v>0.85860000000000003</v>
      </c>
      <c r="F46" s="10">
        <v>0.78949999999999998</v>
      </c>
      <c r="G46" s="8" t="s">
        <v>223</v>
      </c>
      <c r="H46" s="6" t="s">
        <v>235</v>
      </c>
      <c r="I46" s="8" t="s">
        <v>197</v>
      </c>
      <c r="J46" s="9" t="str">
        <f t="shared" si="0"/>
        <v>No</v>
      </c>
    </row>
    <row r="47" spans="1:10" ht="234">
      <c r="A47" s="14">
        <v>46</v>
      </c>
      <c r="B47" s="6" t="s">
        <v>121</v>
      </c>
      <c r="C47" s="6" t="s">
        <v>122</v>
      </c>
      <c r="D47" s="6" t="s">
        <v>123</v>
      </c>
      <c r="E47" s="10">
        <v>0.76910000000000001</v>
      </c>
      <c r="F47" s="10">
        <v>0.749</v>
      </c>
      <c r="G47" s="8" t="s">
        <v>192</v>
      </c>
      <c r="H47" s="6" t="s">
        <v>236</v>
      </c>
      <c r="I47" s="8" t="s">
        <v>218</v>
      </c>
      <c r="J47" s="9" t="str">
        <f t="shared" si="0"/>
        <v>Yes</v>
      </c>
    </row>
    <row r="48" spans="1:10" ht="260">
      <c r="A48" s="14">
        <v>47</v>
      </c>
      <c r="B48" s="6" t="s">
        <v>124</v>
      </c>
      <c r="C48" s="6" t="s">
        <v>125</v>
      </c>
      <c r="D48" s="6" t="s">
        <v>126</v>
      </c>
      <c r="E48" s="10">
        <v>0.87470000000000003</v>
      </c>
      <c r="F48" s="10">
        <v>0.75249999999999995</v>
      </c>
      <c r="G48" s="8" t="s">
        <v>192</v>
      </c>
      <c r="H48" s="6" t="s">
        <v>237</v>
      </c>
      <c r="I48" s="8" t="s">
        <v>197</v>
      </c>
      <c r="J48" s="9" t="str">
        <f t="shared" si="0"/>
        <v>No</v>
      </c>
    </row>
    <row r="49" spans="1:10" ht="325">
      <c r="A49" s="14">
        <v>48</v>
      </c>
      <c r="B49" s="6" t="s">
        <v>127</v>
      </c>
      <c r="C49" s="6" t="s">
        <v>128</v>
      </c>
      <c r="D49" s="6" t="s">
        <v>129</v>
      </c>
      <c r="E49" s="10">
        <v>0.75380000000000003</v>
      </c>
      <c r="F49" s="10">
        <v>0.67300000000000004</v>
      </c>
      <c r="G49" s="8" t="s">
        <v>191</v>
      </c>
      <c r="H49" s="6" t="s">
        <v>238</v>
      </c>
      <c r="I49" s="8" t="s">
        <v>197</v>
      </c>
      <c r="J49" s="9" t="str">
        <f t="shared" si="0"/>
        <v>Yes</v>
      </c>
    </row>
    <row r="50" spans="1:10" ht="156">
      <c r="A50" s="14">
        <v>49</v>
      </c>
      <c r="B50" s="6" t="s">
        <v>130</v>
      </c>
      <c r="C50" s="6" t="s">
        <v>131</v>
      </c>
      <c r="D50" s="6" t="s">
        <v>132</v>
      </c>
      <c r="E50" s="10">
        <v>0.79949999999999999</v>
      </c>
      <c r="F50" s="10">
        <v>0.78500000000000003</v>
      </c>
      <c r="G50" s="8" t="s">
        <v>191</v>
      </c>
      <c r="H50" s="6" t="s">
        <v>239</v>
      </c>
      <c r="I50" s="8" t="s">
        <v>197</v>
      </c>
      <c r="J50" s="9" t="str">
        <f t="shared" si="0"/>
        <v>Yes</v>
      </c>
    </row>
    <row r="51" spans="1:10" ht="117">
      <c r="A51" s="14">
        <v>50</v>
      </c>
      <c r="B51" s="6" t="s">
        <v>133</v>
      </c>
      <c r="C51" s="6" t="s">
        <v>134</v>
      </c>
      <c r="D51" s="6" t="s">
        <v>135</v>
      </c>
      <c r="E51" s="10">
        <v>0.85509999999999997</v>
      </c>
      <c r="F51" s="10">
        <v>0.78210000000000002</v>
      </c>
      <c r="G51" s="8" t="s">
        <v>192</v>
      </c>
      <c r="H51" s="6" t="s">
        <v>211</v>
      </c>
      <c r="I51" s="8" t="s">
        <v>197</v>
      </c>
      <c r="J51" s="9" t="str">
        <f t="shared" si="0"/>
        <v>No</v>
      </c>
    </row>
    <row r="52" spans="1:10" ht="143">
      <c r="A52" s="14">
        <v>51</v>
      </c>
      <c r="B52" s="6" t="s">
        <v>136</v>
      </c>
      <c r="C52" s="6" t="s">
        <v>137</v>
      </c>
      <c r="D52" s="6" t="s">
        <v>138</v>
      </c>
      <c r="E52" s="10">
        <v>0.7399</v>
      </c>
      <c r="F52" s="10">
        <v>0.78300000000000003</v>
      </c>
      <c r="G52" s="8" t="s">
        <v>190</v>
      </c>
      <c r="H52" s="6" t="s">
        <v>240</v>
      </c>
      <c r="I52" s="8" t="s">
        <v>197</v>
      </c>
      <c r="J52" s="9" t="str">
        <f t="shared" si="0"/>
        <v>Yes</v>
      </c>
    </row>
    <row r="53" spans="1:10" ht="208">
      <c r="A53" s="14">
        <v>52</v>
      </c>
      <c r="B53" s="6" t="s">
        <v>139</v>
      </c>
      <c r="C53" s="6" t="s">
        <v>140</v>
      </c>
      <c r="D53" s="6" t="s">
        <v>141</v>
      </c>
      <c r="E53" s="10">
        <v>0.95030000000000003</v>
      </c>
      <c r="F53" s="10">
        <v>0.96660000000000001</v>
      </c>
      <c r="G53" s="8" t="s">
        <v>192</v>
      </c>
      <c r="H53" s="6" t="s">
        <v>211</v>
      </c>
      <c r="I53" s="8" t="s">
        <v>197</v>
      </c>
      <c r="J53" s="9" t="str">
        <f t="shared" si="0"/>
        <v>Yes</v>
      </c>
    </row>
    <row r="54" spans="1:10" ht="351">
      <c r="A54" s="14">
        <v>53</v>
      </c>
      <c r="B54" s="6" t="s">
        <v>142</v>
      </c>
      <c r="C54" s="6" t="s">
        <v>143</v>
      </c>
      <c r="D54" s="6" t="s">
        <v>144</v>
      </c>
      <c r="E54" s="10">
        <v>0.72209999999999996</v>
      </c>
      <c r="F54" s="10">
        <v>0.70779999999999998</v>
      </c>
      <c r="G54" s="8" t="s">
        <v>191</v>
      </c>
      <c r="H54" s="6" t="s">
        <v>241</v>
      </c>
      <c r="I54" s="8" t="s">
        <v>197</v>
      </c>
      <c r="J54" s="9" t="str">
        <f t="shared" si="0"/>
        <v>Yes</v>
      </c>
    </row>
    <row r="55" spans="1:10" ht="156">
      <c r="A55" s="12">
        <v>54</v>
      </c>
      <c r="B55" s="6" t="s">
        <v>145</v>
      </c>
      <c r="C55" s="6" t="s">
        <v>146</v>
      </c>
      <c r="D55" s="6" t="s">
        <v>147</v>
      </c>
      <c r="E55" s="10">
        <v>0.90359999999999996</v>
      </c>
      <c r="F55" s="10">
        <v>0.88949999999999996</v>
      </c>
      <c r="G55" s="8" t="s">
        <v>192</v>
      </c>
      <c r="H55" s="6" t="s">
        <v>211</v>
      </c>
      <c r="I55" s="8" t="s">
        <v>197</v>
      </c>
      <c r="J55" s="9" t="str">
        <f t="shared" si="0"/>
        <v>Yes</v>
      </c>
    </row>
    <row r="56" spans="1:10" ht="338">
      <c r="A56" s="12">
        <v>55</v>
      </c>
      <c r="B56" s="6" t="s">
        <v>148</v>
      </c>
      <c r="C56" s="6" t="s">
        <v>149</v>
      </c>
      <c r="D56" s="6" t="s">
        <v>150</v>
      </c>
      <c r="E56" s="10">
        <v>0.70540000000000003</v>
      </c>
      <c r="F56" s="10">
        <v>0.7288</v>
      </c>
      <c r="G56" s="8" t="s">
        <v>192</v>
      </c>
      <c r="H56" s="6" t="s">
        <v>211</v>
      </c>
      <c r="I56" s="8" t="s">
        <v>197</v>
      </c>
      <c r="J56" s="9" t="str">
        <f t="shared" si="0"/>
        <v>Yes</v>
      </c>
    </row>
    <row r="57" spans="1:10" ht="325">
      <c r="A57" s="12">
        <v>56</v>
      </c>
      <c r="B57" s="6" t="s">
        <v>151</v>
      </c>
      <c r="C57" s="6" t="s">
        <v>152</v>
      </c>
      <c r="D57" s="6" t="s">
        <v>153</v>
      </c>
      <c r="E57" s="10">
        <v>0.69689999999999996</v>
      </c>
      <c r="F57" s="10">
        <v>0.6593</v>
      </c>
      <c r="G57" s="8" t="s">
        <v>190</v>
      </c>
      <c r="H57" s="6" t="s">
        <v>242</v>
      </c>
      <c r="I57" s="8" t="s">
        <v>197</v>
      </c>
      <c r="J57" s="9" t="str">
        <f t="shared" si="0"/>
        <v>No</v>
      </c>
    </row>
    <row r="58" spans="1:10" ht="208">
      <c r="A58" s="12">
        <v>57</v>
      </c>
      <c r="B58" s="6" t="s">
        <v>154</v>
      </c>
      <c r="C58" s="6" t="s">
        <v>155</v>
      </c>
      <c r="D58" s="6" t="s">
        <v>156</v>
      </c>
      <c r="E58" s="10">
        <v>0.75939999999999996</v>
      </c>
      <c r="F58" s="10">
        <v>0.74719999999999998</v>
      </c>
      <c r="G58" s="8" t="s">
        <v>191</v>
      </c>
      <c r="H58" s="6" t="s">
        <v>230</v>
      </c>
      <c r="I58" s="8" t="s">
        <v>197</v>
      </c>
      <c r="J58" s="9" t="str">
        <f t="shared" si="0"/>
        <v>Yes</v>
      </c>
    </row>
    <row r="59" spans="1:10" ht="409.5">
      <c r="A59" s="12">
        <v>58</v>
      </c>
      <c r="B59" s="6" t="s">
        <v>157</v>
      </c>
      <c r="C59" s="6" t="s">
        <v>158</v>
      </c>
      <c r="D59" s="6" t="s">
        <v>159</v>
      </c>
      <c r="E59" s="10">
        <v>0.71499999999999997</v>
      </c>
      <c r="F59" s="10">
        <v>0.69379999999999997</v>
      </c>
      <c r="G59" s="8" t="s">
        <v>191</v>
      </c>
      <c r="H59" s="6" t="s">
        <v>230</v>
      </c>
      <c r="I59" s="8" t="s">
        <v>197</v>
      </c>
      <c r="J59" s="9" t="str">
        <f t="shared" si="0"/>
        <v>Yes</v>
      </c>
    </row>
    <row r="60" spans="1:10" ht="351">
      <c r="A60" s="12">
        <v>59</v>
      </c>
      <c r="B60" s="6" t="s">
        <v>160</v>
      </c>
      <c r="C60" s="6" t="s">
        <v>161</v>
      </c>
      <c r="D60" s="6" t="s">
        <v>162</v>
      </c>
      <c r="E60" s="10">
        <v>0.6583</v>
      </c>
      <c r="F60" s="10">
        <v>0.67159999999999997</v>
      </c>
      <c r="G60" s="8" t="s">
        <v>192</v>
      </c>
      <c r="H60" s="6" t="s">
        <v>211</v>
      </c>
      <c r="I60" s="8" t="s">
        <v>197</v>
      </c>
      <c r="J60" s="9" t="str">
        <f t="shared" si="0"/>
        <v>Yes</v>
      </c>
    </row>
    <row r="61" spans="1:10" ht="26">
      <c r="A61" s="15">
        <v>60</v>
      </c>
      <c r="B61" s="16" t="s">
        <v>163</v>
      </c>
      <c r="C61" s="16" t="s">
        <v>164</v>
      </c>
      <c r="D61" s="16" t="s">
        <v>164</v>
      </c>
      <c r="E61" s="17">
        <v>0.60850000000000004</v>
      </c>
      <c r="F61" s="17">
        <v>0.60560000000000003</v>
      </c>
      <c r="G61" s="18" t="s">
        <v>192</v>
      </c>
      <c r="H61" s="16" t="s">
        <v>243</v>
      </c>
      <c r="I61" s="18" t="s">
        <v>197</v>
      </c>
      <c r="J61" s="19" t="str">
        <f t="shared" si="0"/>
        <v>Yes</v>
      </c>
    </row>
  </sheetData>
  <conditionalFormatting sqref="E2:F61">
    <cfRule type="cellIs" dxfId="4" priority="1" operator="between">
      <formula>0.7</formula>
      <formula>1</formula>
    </cfRule>
    <cfRule type="cellIs" dxfId="3" priority="2" operator="between">
      <formula>0.5</formula>
      <formula>0.7</formula>
    </cfRule>
    <cfRule type="cellIs" dxfId="2" priority="3" operator="between">
      <formula>0</formula>
      <formula>0.5</formula>
    </cfRule>
  </conditionalFormatting>
  <conditionalFormatting sqref="J1:J61">
    <cfRule type="containsText" dxfId="1" priority="4" operator="containsText" text="No">
      <formula>NOT(ISERROR(SEARCH("No",J1)))</formula>
    </cfRule>
    <cfRule type="containsText" dxfId="0" priority="5" operator="containsText" text="Yes">
      <formula>NOT(ISERROR(SEARCH("Yes",J1)))</formula>
    </cfRule>
  </conditionalFormatting>
  <dataValidations count="2">
    <dataValidation type="list" sqref="G2:G61" xr:uid="{00000000-0002-0000-0000-000000000000}">
      <formula1>"Structure aware,Fixed size,Tie / close,Neither / failed"</formula1>
    </dataValidation>
    <dataValidation type="list" sqref="I2:I61" xr:uid="{00000000-0002-0000-0000-000001000000}">
      <formula1>"Pass,Needs work,Partial,Cannot judge,Exclude"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showGridLines="0" workbookViewId="0"/>
  </sheetViews>
  <sheetFormatPr defaultRowHeight="14"/>
  <cols>
    <col min="1" max="2" width="42" customWidth="1"/>
  </cols>
  <sheetData>
    <row r="1" spans="1:2">
      <c r="A1" s="1" t="s">
        <v>165</v>
      </c>
      <c r="B1" s="2" t="s">
        <v>166</v>
      </c>
    </row>
    <row r="2" spans="1:2" ht="42">
      <c r="A2" s="1" t="s">
        <v>167</v>
      </c>
      <c r="B2" s="3" t="s">
        <v>168</v>
      </c>
    </row>
    <row r="3" spans="1:2">
      <c r="A3" s="1" t="s">
        <v>169</v>
      </c>
      <c r="B3" s="3">
        <v>54</v>
      </c>
    </row>
    <row r="4" spans="1:2">
      <c r="A4" s="1" t="s">
        <v>170</v>
      </c>
      <c r="B4" s="3">
        <v>106</v>
      </c>
    </row>
    <row r="5" spans="1:2">
      <c r="A5" s="1" t="s">
        <v>171</v>
      </c>
      <c r="B5" s="3">
        <v>53</v>
      </c>
    </row>
    <row r="6" spans="1:2" ht="42">
      <c r="A6" s="1" t="s">
        <v>172</v>
      </c>
      <c r="B6" s="3"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Comparison</vt:lpstr>
      <vt:lpstr>Export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Andre David Edwards</cp:lastModifiedBy>
  <dcterms:created xsi:type="dcterms:W3CDTF">2026-07-08T17:40:33Z</dcterms:created>
  <dcterms:modified xsi:type="dcterms:W3CDTF">2026-08-18T16:51:13Z</dcterms:modified>
</cp:coreProperties>
</file>